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1840" windowHeight="9360"/>
  </bookViews>
  <sheets>
    <sheet name="Лист1" sheetId="1" r:id="rId1"/>
    <sheet name="Лист2" sheetId="2" r:id="rId2"/>
    <sheet name="Лист3" sheetId="3" r:id="rId3"/>
    <sheet name="Лист4" sheetId="4" r:id="rId4"/>
  </sheets>
  <definedNames>
    <definedName name="mA">Лист2!$A$2:$C$4</definedName>
    <definedName name="mB">Лист2!$A$7:$C$9</definedName>
    <definedName name="Xsr">Лист1!$M$3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0" i="1" l="1"/>
  <c r="Z21" i="1"/>
  <c r="Y20" i="1"/>
  <c r="Y21" i="1"/>
  <c r="X21" i="1"/>
  <c r="X20" i="1"/>
  <c r="Y19" i="1"/>
  <c r="Z19" i="1"/>
  <c r="X19" i="1"/>
  <c r="Z13" i="1"/>
  <c r="Z14" i="1"/>
  <c r="Y13" i="1"/>
  <c r="Y14" i="1"/>
  <c r="Q3" i="1"/>
  <c r="U4" i="1"/>
  <c r="V4" i="1" s="1"/>
  <c r="U5" i="1"/>
  <c r="V5" i="1" s="1"/>
  <c r="U6" i="1"/>
  <c r="V6" i="1" s="1"/>
  <c r="U7" i="1"/>
  <c r="V7" i="1" s="1"/>
  <c r="U8" i="1"/>
  <c r="V8" i="1" s="1"/>
  <c r="U9" i="1"/>
  <c r="V9" i="1" s="1"/>
  <c r="U10" i="1"/>
  <c r="V10" i="1" s="1"/>
  <c r="U11" i="1"/>
  <c r="V11" i="1" s="1"/>
  <c r="U12" i="1"/>
  <c r="V12" i="1" s="1"/>
  <c r="U13" i="1"/>
  <c r="V13" i="1" s="1"/>
  <c r="U14" i="1"/>
  <c r="V14" i="1" s="1"/>
  <c r="U15" i="1"/>
  <c r="V15" i="1" s="1"/>
  <c r="U16" i="1"/>
  <c r="V16" i="1" s="1"/>
  <c r="U17" i="1"/>
  <c r="V17" i="1" s="1"/>
  <c r="U18" i="1"/>
  <c r="V18" i="1" s="1"/>
  <c r="U19" i="1"/>
  <c r="V19" i="1" s="1"/>
  <c r="U20" i="1"/>
  <c r="V20" i="1" s="1"/>
  <c r="U21" i="1"/>
  <c r="V21" i="1" s="1"/>
  <c r="U22" i="1"/>
  <c r="V22" i="1" s="1"/>
  <c r="U23" i="1"/>
  <c r="V23" i="1" s="1"/>
  <c r="U24" i="1"/>
  <c r="V24" i="1" s="1"/>
  <c r="U25" i="1"/>
  <c r="V25" i="1" s="1"/>
  <c r="U26" i="1"/>
  <c r="V26" i="1" s="1"/>
  <c r="U27" i="1"/>
  <c r="V27" i="1" s="1"/>
  <c r="U28" i="1"/>
  <c r="V28" i="1" s="1"/>
  <c r="U29" i="1"/>
  <c r="V29" i="1" s="1"/>
  <c r="U30" i="1"/>
  <c r="V30" i="1" s="1"/>
  <c r="U31" i="1"/>
  <c r="V31" i="1" s="1"/>
  <c r="U32" i="1"/>
  <c r="V32" i="1" s="1"/>
  <c r="U33" i="1"/>
  <c r="V33" i="1" s="1"/>
  <c r="U34" i="1"/>
  <c r="V34" i="1" s="1"/>
  <c r="U35" i="1"/>
  <c r="V35" i="1" s="1"/>
  <c r="U36" i="1"/>
  <c r="V36" i="1" s="1"/>
  <c r="U37" i="1"/>
  <c r="V37" i="1" s="1"/>
  <c r="U38" i="1"/>
  <c r="V38" i="1" s="1"/>
  <c r="U39" i="1"/>
  <c r="V39" i="1" s="1"/>
  <c r="U40" i="1"/>
  <c r="V40" i="1" s="1"/>
  <c r="U41" i="1"/>
  <c r="V41" i="1" s="1"/>
  <c r="U42" i="1"/>
  <c r="V42" i="1" s="1"/>
  <c r="U43" i="1"/>
  <c r="V43" i="1" s="1"/>
  <c r="U44" i="1"/>
  <c r="V44" i="1" s="1"/>
  <c r="U45" i="1"/>
  <c r="V45" i="1" s="1"/>
  <c r="U46" i="1"/>
  <c r="V46" i="1" s="1"/>
  <c r="U47" i="1"/>
  <c r="V47" i="1" s="1"/>
  <c r="U48" i="1"/>
  <c r="V48" i="1" s="1"/>
  <c r="U49" i="1"/>
  <c r="V49" i="1" s="1"/>
  <c r="U50" i="1"/>
  <c r="V50" i="1" s="1"/>
  <c r="U51" i="1"/>
  <c r="V51" i="1" s="1"/>
  <c r="U3" i="1"/>
  <c r="V3" i="1" s="1"/>
  <c r="Q35" i="1"/>
  <c r="Q32" i="1"/>
  <c r="Q46" i="1"/>
  <c r="Q27" i="1"/>
  <c r="Q4" i="1"/>
  <c r="Q16" i="1"/>
  <c r="Q22" i="1"/>
  <c r="Q26" i="1"/>
  <c r="Q31" i="1"/>
  <c r="Q50" i="1"/>
  <c r="Q18" i="1"/>
  <c r="Q30" i="1"/>
  <c r="Q33" i="1"/>
  <c r="Q43" i="1"/>
  <c r="Q10" i="1"/>
  <c r="Q19" i="1"/>
  <c r="Q20" i="1"/>
  <c r="Q41" i="1"/>
  <c r="Q8" i="1"/>
  <c r="Q48" i="1"/>
  <c r="Q21" i="1"/>
  <c r="Q7" i="1"/>
  <c r="Q15" i="1"/>
  <c r="Q17" i="1"/>
  <c r="Q36" i="1"/>
  <c r="Q13" i="1"/>
  <c r="Q49" i="1"/>
  <c r="Q45" i="1"/>
  <c r="Q5" i="1"/>
  <c r="Q23" i="1"/>
  <c r="Q47" i="1"/>
  <c r="Q29" i="1"/>
  <c r="Q42" i="1"/>
  <c r="Q38" i="1"/>
  <c r="Q6" i="1"/>
  <c r="Q28" i="1"/>
  <c r="Q25" i="1"/>
  <c r="Q51" i="1"/>
  <c r="Q24" i="1"/>
  <c r="Q40" i="1"/>
  <c r="Q14" i="1"/>
  <c r="Q11" i="1"/>
  <c r="Q44" i="1"/>
  <c r="Q9" i="1"/>
  <c r="Q39" i="1"/>
  <c r="Q34" i="1"/>
  <c r="Q37" i="1"/>
  <c r="Q12" i="1"/>
  <c r="R12" i="1" s="1"/>
  <c r="K39" i="1"/>
  <c r="C9" i="2"/>
  <c r="B9" i="2"/>
  <c r="A9" i="2"/>
  <c r="C8" i="2"/>
  <c r="B8" i="2"/>
  <c r="A8" i="2"/>
  <c r="C7" i="2"/>
  <c r="B7" i="2"/>
  <c r="A7" i="2"/>
  <c r="B2" i="2"/>
  <c r="C2" i="2"/>
  <c r="B3" i="2"/>
  <c r="C3" i="2"/>
  <c r="B4" i="2"/>
  <c r="C4" i="2"/>
  <c r="A3" i="2"/>
  <c r="A4" i="2"/>
  <c r="A2" i="2"/>
  <c r="L26" i="1"/>
  <c r="P26" i="1" s="1"/>
  <c r="L4" i="1"/>
  <c r="P4" i="1" s="1"/>
  <c r="L19" i="1"/>
  <c r="P19" i="1" s="1"/>
  <c r="L21" i="1"/>
  <c r="P21" i="1" s="1"/>
  <c r="L50" i="1"/>
  <c r="P50" i="1" s="1"/>
  <c r="L31" i="1"/>
  <c r="P31" i="1" s="1"/>
  <c r="L51" i="1"/>
  <c r="P51" i="1" s="1"/>
  <c r="L20" i="1"/>
  <c r="P20" i="1" s="1"/>
  <c r="L15" i="1"/>
  <c r="P15" i="1" s="1"/>
  <c r="L30" i="1"/>
  <c r="P30" i="1" s="1"/>
  <c r="L14" i="1"/>
  <c r="P14" i="1" s="1"/>
  <c r="L18" i="1"/>
  <c r="P18" i="1" s="1"/>
  <c r="L6" i="1"/>
  <c r="P6" i="1" s="1"/>
  <c r="L48" i="1"/>
  <c r="P48" i="1" s="1"/>
  <c r="L36" i="1"/>
  <c r="P36" i="1" s="1"/>
  <c r="L34" i="1"/>
  <c r="P34" i="1" s="1"/>
  <c r="L40" i="1"/>
  <c r="P40" i="1" s="1"/>
  <c r="L11" i="1"/>
  <c r="P11" i="1" s="1"/>
  <c r="L17" i="1"/>
  <c r="P17" i="1" s="1"/>
  <c r="L7" i="1"/>
  <c r="P7" i="1" s="1"/>
  <c r="L9" i="1"/>
  <c r="P9" i="1" s="1"/>
  <c r="L5" i="1"/>
  <c r="P5" i="1" s="1"/>
  <c r="L43" i="1"/>
  <c r="P43" i="1" s="1"/>
  <c r="L16" i="1"/>
  <c r="P16" i="1" s="1"/>
  <c r="L38" i="1"/>
  <c r="P38" i="1" s="1"/>
  <c r="L25" i="1"/>
  <c r="P25" i="1" s="1"/>
  <c r="L37" i="1"/>
  <c r="P37" i="1" s="1"/>
  <c r="L8" i="1"/>
  <c r="P8" i="1" s="1"/>
  <c r="L27" i="1"/>
  <c r="P27" i="1" s="1"/>
  <c r="L47" i="1"/>
  <c r="P47" i="1" s="1"/>
  <c r="L3" i="1"/>
  <c r="P3" i="1" s="1"/>
  <c r="L28" i="1"/>
  <c r="P28" i="1" s="1"/>
  <c r="L24" i="1"/>
  <c r="P24" i="1" s="1"/>
  <c r="L22" i="1"/>
  <c r="P22" i="1" s="1"/>
  <c r="L44" i="1"/>
  <c r="P44" i="1" s="1"/>
  <c r="L41" i="1"/>
  <c r="P41" i="1" s="1"/>
  <c r="L42" i="1"/>
  <c r="P42" i="1" s="1"/>
  <c r="L32" i="1"/>
  <c r="P32" i="1" s="1"/>
  <c r="L33" i="1"/>
  <c r="P33" i="1" s="1"/>
  <c r="L45" i="1"/>
  <c r="P45" i="1" s="1"/>
  <c r="L35" i="1"/>
  <c r="P35" i="1" s="1"/>
  <c r="L13" i="1"/>
  <c r="P13" i="1" s="1"/>
  <c r="L12" i="1"/>
  <c r="P12" i="1" s="1"/>
  <c r="L29" i="1"/>
  <c r="P29" i="1" s="1"/>
  <c r="L46" i="1"/>
  <c r="P46" i="1" s="1"/>
  <c r="L10" i="1"/>
  <c r="P10" i="1" s="1"/>
  <c r="L23" i="1"/>
  <c r="P23" i="1" s="1"/>
  <c r="L49" i="1"/>
  <c r="P49" i="1" s="1"/>
  <c r="L39" i="1"/>
  <c r="P39" i="1" s="1"/>
  <c r="O32" i="1"/>
  <c r="O35" i="1"/>
  <c r="M41" i="1"/>
  <c r="M42" i="1"/>
  <c r="M39" i="1"/>
  <c r="R11" i="1" l="1"/>
  <c r="R51" i="1"/>
  <c r="R23" i="1"/>
  <c r="R13" i="1"/>
  <c r="R7" i="1"/>
  <c r="R41" i="1"/>
  <c r="R43" i="1"/>
  <c r="R16" i="1"/>
  <c r="R32" i="1"/>
  <c r="R39" i="1"/>
  <c r="R31" i="1"/>
  <c r="R35" i="1"/>
  <c r="R9" i="1"/>
  <c r="R40" i="1"/>
  <c r="R28" i="1"/>
  <c r="R29" i="1"/>
  <c r="R45" i="1"/>
  <c r="R17" i="1"/>
  <c r="R48" i="1"/>
  <c r="R19" i="1"/>
  <c r="R30" i="1"/>
  <c r="R26" i="1"/>
  <c r="R27" i="1"/>
  <c r="R37" i="1"/>
  <c r="R44" i="1"/>
  <c r="R24" i="1"/>
  <c r="R6" i="1"/>
  <c r="R47" i="1"/>
  <c r="R49" i="1"/>
  <c r="R15" i="1"/>
  <c r="R8" i="1"/>
  <c r="R4" i="1"/>
  <c r="R50" i="1"/>
  <c r="R46" i="1"/>
  <c r="R42" i="1"/>
  <c r="R38" i="1"/>
  <c r="R34" i="1"/>
  <c r="R22" i="1"/>
  <c r="R18" i="1"/>
  <c r="R14" i="1"/>
  <c r="R10" i="1"/>
  <c r="R33" i="1"/>
  <c r="R25" i="1"/>
  <c r="R21" i="1"/>
  <c r="R5" i="1"/>
  <c r="R3" i="1"/>
  <c r="S3" i="1" s="1"/>
  <c r="R36" i="1"/>
  <c r="R20" i="1"/>
  <c r="F14" i="2" a="1"/>
  <c r="F15" i="2" s="1"/>
  <c r="F6" i="2" a="1"/>
  <c r="G7" i="2" s="1"/>
  <c r="F10" i="2" a="1"/>
  <c r="F11" i="2" s="1"/>
  <c r="F2" i="2" a="1"/>
  <c r="H4" i="2" s="1"/>
  <c r="S8" i="1" l="1"/>
  <c r="T8" i="1" s="1"/>
  <c r="S12" i="1"/>
  <c r="T12" i="1" s="1"/>
  <c r="S16" i="1"/>
  <c r="T16" i="1" s="1"/>
  <c r="S20" i="1"/>
  <c r="T20" i="1" s="1"/>
  <c r="S24" i="1"/>
  <c r="T24" i="1" s="1"/>
  <c r="S28" i="1"/>
  <c r="T28" i="1" s="1"/>
  <c r="S32" i="1"/>
  <c r="T32" i="1" s="1"/>
  <c r="S36" i="1"/>
  <c r="T36" i="1" s="1"/>
  <c r="S40" i="1"/>
  <c r="T40" i="1" s="1"/>
  <c r="S44" i="1"/>
  <c r="T44" i="1" s="1"/>
  <c r="S48" i="1"/>
  <c r="T48" i="1" s="1"/>
  <c r="T3" i="1"/>
  <c r="S4" i="1"/>
  <c r="T4" i="1" s="1"/>
  <c r="S9" i="1"/>
  <c r="T9" i="1" s="1"/>
  <c r="S13" i="1"/>
  <c r="T13" i="1" s="1"/>
  <c r="S17" i="1"/>
  <c r="T17" i="1" s="1"/>
  <c r="S21" i="1"/>
  <c r="T21" i="1" s="1"/>
  <c r="S25" i="1"/>
  <c r="T25" i="1" s="1"/>
  <c r="S29" i="1"/>
  <c r="T29" i="1" s="1"/>
  <c r="S33" i="1"/>
  <c r="T33" i="1" s="1"/>
  <c r="S37" i="1"/>
  <c r="T37" i="1" s="1"/>
  <c r="S41" i="1"/>
  <c r="T41" i="1" s="1"/>
  <c r="S45" i="1"/>
  <c r="T45" i="1" s="1"/>
  <c r="S49" i="1"/>
  <c r="T49" i="1" s="1"/>
  <c r="S6" i="1"/>
  <c r="T6" i="1" s="1"/>
  <c r="S10" i="1"/>
  <c r="T10" i="1" s="1"/>
  <c r="S14" i="1"/>
  <c r="T14" i="1" s="1"/>
  <c r="S18" i="1"/>
  <c r="T18" i="1" s="1"/>
  <c r="S22" i="1"/>
  <c r="T22" i="1" s="1"/>
  <c r="S26" i="1"/>
  <c r="T26" i="1" s="1"/>
  <c r="S30" i="1"/>
  <c r="T30" i="1" s="1"/>
  <c r="S34" i="1"/>
  <c r="T34" i="1" s="1"/>
  <c r="S38" i="1"/>
  <c r="T38" i="1" s="1"/>
  <c r="S42" i="1"/>
  <c r="T42" i="1" s="1"/>
  <c r="S46" i="1"/>
  <c r="T46" i="1" s="1"/>
  <c r="S50" i="1"/>
  <c r="T50" i="1" s="1"/>
  <c r="S5" i="1"/>
  <c r="T5" i="1" s="1"/>
  <c r="S7" i="1"/>
  <c r="T7" i="1" s="1"/>
  <c r="S11" i="1"/>
  <c r="T11" i="1" s="1"/>
  <c r="S15" i="1"/>
  <c r="T15" i="1" s="1"/>
  <c r="S19" i="1"/>
  <c r="T19" i="1" s="1"/>
  <c r="S23" i="1"/>
  <c r="T23" i="1" s="1"/>
  <c r="S27" i="1"/>
  <c r="T27" i="1" s="1"/>
  <c r="S31" i="1"/>
  <c r="T31" i="1" s="1"/>
  <c r="S35" i="1"/>
  <c r="T35" i="1" s="1"/>
  <c r="S39" i="1"/>
  <c r="T39" i="1" s="1"/>
  <c r="S43" i="1"/>
  <c r="T43" i="1" s="1"/>
  <c r="S47" i="1"/>
  <c r="T47" i="1" s="1"/>
  <c r="S51" i="1"/>
  <c r="T51" i="1" s="1"/>
  <c r="H14" i="2"/>
  <c r="G15" i="2"/>
  <c r="H15" i="2"/>
  <c r="F14" i="2"/>
  <c r="G16" i="2"/>
  <c r="G14" i="2"/>
  <c r="F16" i="2"/>
  <c r="H16" i="2"/>
  <c r="F8" i="2"/>
  <c r="G6" i="2"/>
  <c r="F6" i="2"/>
  <c r="H6" i="2"/>
  <c r="F7" i="2"/>
  <c r="G8" i="2"/>
  <c r="H8" i="2"/>
  <c r="H7" i="2"/>
  <c r="G10" i="2"/>
  <c r="G12" i="2"/>
  <c r="H10" i="2"/>
  <c r="G11" i="2"/>
  <c r="H11" i="2"/>
  <c r="F10" i="2"/>
  <c r="F12" i="2"/>
  <c r="H12" i="2"/>
  <c r="F4" i="2"/>
  <c r="H2" i="2"/>
  <c r="G4" i="2"/>
  <c r="F2" i="2"/>
  <c r="G3" i="2"/>
  <c r="F3" i="2"/>
  <c r="H3" i="2"/>
  <c r="G2" i="2"/>
  <c r="X14" i="1" l="1"/>
  <c r="X12" i="1"/>
  <c r="X13" i="1"/>
  <c r="Y12" i="1"/>
  <c r="Z12" i="1"/>
  <c r="X7" i="1"/>
  <c r="X6" i="1"/>
  <c r="Y7" i="1"/>
  <c r="X5" i="1"/>
  <c r="Y6" i="1"/>
  <c r="Z7" i="1"/>
  <c r="Z6" i="1"/>
  <c r="Y5" i="1"/>
  <c r="Z5" i="1"/>
</calcChain>
</file>

<file path=xl/sharedStrings.xml><?xml version="1.0" encoding="utf-8"?>
<sst xmlns="http://schemas.openxmlformats.org/spreadsheetml/2006/main" count="162" uniqueCount="90">
  <si>
    <t>Артикул</t>
  </si>
  <si>
    <t>Продукт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</si>
  <si>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</si>
  <si>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</si>
  <si>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</si>
  <si>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</si>
  <si>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</si>
  <si>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</si>
  <si>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</si>
  <si>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</si>
  <si>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True Burner 8.6</t>
  </si>
  <si>
    <t>Soft4Boost DVD Creator 6.4.9.867</t>
  </si>
  <si>
    <t>Soft4Boost Disc Cover Studio 7.3.9.953</t>
  </si>
  <si>
    <t>Soft4Boost Burning Studio 7.2.1.143</t>
  </si>
  <si>
    <t>Soft4Boost Easy Disc Burner 7.7.7.953</t>
  </si>
  <si>
    <t>Soft4Boost DVD Cloner 7.9.9.203</t>
  </si>
  <si>
    <t>DVDFab 12.0.8.6</t>
  </si>
  <si>
    <t>BurnAware Free 15.8</t>
  </si>
  <si>
    <t>PowerISO 8.3</t>
  </si>
  <si>
    <t>WinBin2Iso 5.66</t>
  </si>
  <si>
    <t>DVD-Cloner 2022 19.60.1475</t>
  </si>
  <si>
    <t>WinToUSB 7.1</t>
  </si>
  <si>
    <t>Ashampoo Burning Studio 23.0.9</t>
  </si>
  <si>
    <t>ImgDrive 1.8.3</t>
  </si>
  <si>
    <t>Any Burn 5.4</t>
  </si>
  <si>
    <t>DAEMON Tools Lite 11.0.0.1996</t>
  </si>
  <si>
    <t>Universal USB Installer 2.0.1.4</t>
  </si>
  <si>
    <t>IsoBuster 5.0</t>
  </si>
  <si>
    <t>CD DVD Encryption 3.2.0</t>
  </si>
  <si>
    <t>ISO Workshop 11.3</t>
  </si>
  <si>
    <t>Xreveal 2.2.4</t>
  </si>
  <si>
    <t>Ashampoo Burning Studio Free 1.23.8</t>
  </si>
  <si>
    <t>R-Drive Image 7.0 build 7004</t>
  </si>
  <si>
    <t>AnyDVD HD 8.6.1.0</t>
  </si>
  <si>
    <t>Etcher 1.7.8</t>
  </si>
  <si>
    <t>MiniTool Partition Wizard Bootable 12.6</t>
  </si>
  <si>
    <t>WinSetupFromUSB 1.10</t>
  </si>
  <si>
    <t>WonderFox DVD Ripper 19.1</t>
  </si>
  <si>
    <t>CDRtfe 1.5.9</t>
  </si>
  <si>
    <t>DVDStyler 3.2.1</t>
  </si>
  <si>
    <t>CDRoller 11.80.20</t>
  </si>
  <si>
    <t>DAEMON Tools Pro 8.3.1.0811</t>
  </si>
  <si>
    <t>DAEMON Tools Ultra 6.1.0.1746</t>
  </si>
  <si>
    <t>Alcohol 120% 2.1.1.1019 Free Edition</t>
  </si>
  <si>
    <t>Alcohol 52% Free Edition 2.1.1.1019</t>
  </si>
  <si>
    <t>Alcohol 120% 2.1.1.1019</t>
  </si>
  <si>
    <t>CloneBD 1.2.9.0</t>
  </si>
  <si>
    <t>Virtual CloneDrive 5.5.2.0</t>
  </si>
  <si>
    <t>Express Burn 10.30</t>
  </si>
  <si>
    <t>Nero Video 23.0.1000</t>
  </si>
  <si>
    <t>Nero CoverDesigner 23.5.1000</t>
  </si>
  <si>
    <t>Nero Burning ROM 23.0.1000</t>
  </si>
  <si>
    <t>VirtualDVD Media Emulator 9.4.0.0</t>
  </si>
  <si>
    <t>Ignition 2.26.4.78</t>
  </si>
  <si>
    <t>UltraISO 9.7.6.3829</t>
  </si>
  <si>
    <t>QEMU 6.0.0 (06.07.2021)</t>
  </si>
  <si>
    <t>DVD Drive Repair 8.1.3.1186</t>
  </si>
  <si>
    <t>OSFMount 3.1.1000</t>
  </si>
  <si>
    <t>AVS Disc Creator 6.2.4.564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</si>
  <si>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</si>
  <si>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</si>
  <si>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</si>
  <si>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</si>
  <si>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</si>
  <si>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</si>
  <si>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</si>
  <si>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</si>
  <si>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t>XYZ</t>
  </si>
  <si>
    <t>A+B</t>
  </si>
  <si>
    <t>обратная</t>
  </si>
  <si>
    <t>AxB</t>
  </si>
  <si>
    <t>транспорирование</t>
  </si>
  <si>
    <t>Итого</t>
  </si>
  <si>
    <t>Доля рез</t>
  </si>
  <si>
    <t>Накопление</t>
  </si>
  <si>
    <t>ABC</t>
  </si>
  <si>
    <t>коэф вариации</t>
  </si>
  <si>
    <t>Кол-во позиций</t>
  </si>
  <si>
    <t>A</t>
  </si>
  <si>
    <t>B</t>
  </si>
  <si>
    <t>C</t>
  </si>
  <si>
    <t>X</t>
  </si>
  <si>
    <t>Y</t>
  </si>
  <si>
    <t>Z</t>
  </si>
  <si>
    <t>Столбец1</t>
  </si>
  <si>
    <t>Столбец2</t>
  </si>
  <si>
    <t>Столбец3</t>
  </si>
  <si>
    <t>Столбец4</t>
  </si>
  <si>
    <t>Кол-во скачиваний</t>
  </si>
  <si>
    <t>Среднее кол-во по продукту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</si>
</sst>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0.0000"/>
    <numFmt numFmtId="170" formatCode="0.0%"/>
    <numFmt numFmtId="174" formatCode="0.0000000000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0" fillId="3" borderId="2" xfId="0" applyFill="1" applyBorder="1"/>
    <xf numFmtId="0" fontId="3" fillId="0" borderId="0" xfId="2"/>
    <xf numFmtId="0" fontId="2" fillId="2" borderId="1" xfId="1"/>
    <xf numFmtId="0" fontId="0" fillId="3" borderId="0" xfId="0" applyFill="1"/>
    <xf numFmtId="0" fontId="0" fillId="4" borderId="0" xfId="0" applyFill="1"/>
    <xf numFmtId="166" fontId="0" fillId="0" borderId="0" xfId="0" applyNumberFormat="1"/>
    <xf numFmtId="0" fontId="0" fillId="3" borderId="3" xfId="0" applyFill="1" applyBorder="1"/>
    <xf numFmtId="170" fontId="0" fillId="0" borderId="0" xfId="3" applyNumberFormat="1" applyFont="1"/>
    <xf numFmtId="174" fontId="0" fillId="0" borderId="0" xfId="0" applyNumberFormat="1"/>
  </cellXfs>
  <cellStyles count="4">
    <cellStyle name="Вывод" xfId="1" builtinId="21"/>
    <cellStyle name="Гиперссылка" xfId="2" builtinId="8"/>
    <cellStyle name="Обычный" xfId="0" builtinId="0"/>
    <cellStyle name="Процентный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4" name="Таблица4" displayName="Таблица4" ref="W3:Z7" totalsRowShown="0">
  <autoFilter ref="W3:Z7"/>
  <tableColumns count="4">
    <tableColumn id="1" name="Столбец1"/>
    <tableColumn id="2" name="Столбец2"/>
    <tableColumn id="3" name="Столбец3"/>
    <tableColumn id="4" name="Столбец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Таблица46" displayName="Таблица46" ref="W10:Z14" totalsRowShown="0">
  <autoFilter ref="W10:Z14"/>
  <tableColumns count="4">
    <tableColumn id="1" name="Столбец1"/>
    <tableColumn id="2" name="Столбец2"/>
    <tableColumn id="3" name="Столбец3"/>
    <tableColumn id="4" name="Столбец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Таблица47" displayName="Таблица47" ref="W17:Z21" totalsRowShown="0">
  <autoFilter ref="W17:Z21"/>
  <tableColumns count="4">
    <tableColumn id="1" name="Столбец1"/>
    <tableColumn id="2" name="Столбец2"/>
    <tableColumn id="3" name="Столбец3"/>
    <tableColumn id="4" name="Столбец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oftportal.com/software-4328-ashampoo-burning-studio.html" TargetMode="External"/><Relationship Id="rId18" Type="http://schemas.openxmlformats.org/officeDocument/2006/relationships/hyperlink" Target="https://www.softportal.com/software-1838-isobuster.html" TargetMode="External"/><Relationship Id="rId26" Type="http://schemas.openxmlformats.org/officeDocument/2006/relationships/hyperlink" Target="https://www.softportal.com/software-22788-winsetupfromusb.html" TargetMode="External"/><Relationship Id="rId39" Type="http://schemas.openxmlformats.org/officeDocument/2006/relationships/hyperlink" Target="https://www.softportal.com/software-28583-nero-coverdesigner.html" TargetMode="External"/><Relationship Id="rId3" Type="http://schemas.openxmlformats.org/officeDocument/2006/relationships/hyperlink" Target="https://www.softportal.com/software-34933-soft4boost-disc-cover-studio.html" TargetMode="External"/><Relationship Id="rId21" Type="http://schemas.openxmlformats.org/officeDocument/2006/relationships/hyperlink" Target="https://www.softportal.com/software-15145-ashampoo-burning-studio.html" TargetMode="External"/><Relationship Id="rId34" Type="http://schemas.openxmlformats.org/officeDocument/2006/relationships/hyperlink" Target="https://www.softportal.com/software-1521-alcohol-120.html" TargetMode="External"/><Relationship Id="rId42" Type="http://schemas.openxmlformats.org/officeDocument/2006/relationships/hyperlink" Target="https://www.softportal.com/software-33018-ignition.html" TargetMode="External"/><Relationship Id="rId47" Type="http://schemas.openxmlformats.org/officeDocument/2006/relationships/hyperlink" Target="https://www.softportal.com/software-29027-avs-disc-creator.html" TargetMode="External"/><Relationship Id="rId50" Type="http://schemas.openxmlformats.org/officeDocument/2006/relationships/table" Target="../tables/table3.xml"/><Relationship Id="rId7" Type="http://schemas.openxmlformats.org/officeDocument/2006/relationships/hyperlink" Target="https://www.softportal.com/software-4110-dvdfab.html" TargetMode="External"/><Relationship Id="rId12" Type="http://schemas.openxmlformats.org/officeDocument/2006/relationships/hyperlink" Target="https://www.softportal.com/software-36475-wintousb.html" TargetMode="External"/><Relationship Id="rId17" Type="http://schemas.openxmlformats.org/officeDocument/2006/relationships/hyperlink" Target="https://www.softportal.com/software-23469-universal-usb-installer.html" TargetMode="External"/><Relationship Id="rId25" Type="http://schemas.openxmlformats.org/officeDocument/2006/relationships/hyperlink" Target="https://www.softportal.com/software-40960-minitool-partition-wizard-bootable.html" TargetMode="External"/><Relationship Id="rId33" Type="http://schemas.openxmlformats.org/officeDocument/2006/relationships/hyperlink" Target="https://www.softportal.com/software-17873-alcohol-52-free-edition.html" TargetMode="External"/><Relationship Id="rId38" Type="http://schemas.openxmlformats.org/officeDocument/2006/relationships/hyperlink" Target="https://www.softportal.com/software-34698-nero-video.html" TargetMode="External"/><Relationship Id="rId46" Type="http://schemas.openxmlformats.org/officeDocument/2006/relationships/hyperlink" Target="https://www.softportal.com/software-22066-osfmount.html" TargetMode="External"/><Relationship Id="rId2" Type="http://schemas.openxmlformats.org/officeDocument/2006/relationships/hyperlink" Target="https://www.softportal.com/software-37928-soft4boost-dvd-creator.html" TargetMode="External"/><Relationship Id="rId16" Type="http://schemas.openxmlformats.org/officeDocument/2006/relationships/hyperlink" Target="https://www.softportal.com/software-10-daemon-tools.html" TargetMode="External"/><Relationship Id="rId20" Type="http://schemas.openxmlformats.org/officeDocument/2006/relationships/hyperlink" Target="https://www.softportal.com/software-21647-iso-workshop.html" TargetMode="External"/><Relationship Id="rId29" Type="http://schemas.openxmlformats.org/officeDocument/2006/relationships/hyperlink" Target="https://www.softportal.com/software-12173-dvdstyler.html" TargetMode="External"/><Relationship Id="rId41" Type="http://schemas.openxmlformats.org/officeDocument/2006/relationships/hyperlink" Target="https://www.softportal.com/software-35903-virtualdvd-media-emulator.html" TargetMode="External"/><Relationship Id="rId1" Type="http://schemas.openxmlformats.org/officeDocument/2006/relationships/hyperlink" Target="https://www.softportal.com/software-34301-true-burner.html" TargetMode="External"/><Relationship Id="rId6" Type="http://schemas.openxmlformats.org/officeDocument/2006/relationships/hyperlink" Target="https://www.softportal.com/software-31825-soft4boost-dvd-cloner.html" TargetMode="External"/><Relationship Id="rId11" Type="http://schemas.openxmlformats.org/officeDocument/2006/relationships/hyperlink" Target="https://www.softportal.com/software-1502-dvd-cloner.html" TargetMode="External"/><Relationship Id="rId24" Type="http://schemas.openxmlformats.org/officeDocument/2006/relationships/hyperlink" Target="https://www.softportal.com/software-45141-etcher.html" TargetMode="External"/><Relationship Id="rId32" Type="http://schemas.openxmlformats.org/officeDocument/2006/relationships/hyperlink" Target="https://www.softportal.com/software-41209-alcohol-120.html" TargetMode="External"/><Relationship Id="rId37" Type="http://schemas.openxmlformats.org/officeDocument/2006/relationships/hyperlink" Target="https://www.softportal.com/software-15956-express-burn.html" TargetMode="External"/><Relationship Id="rId40" Type="http://schemas.openxmlformats.org/officeDocument/2006/relationships/hyperlink" Target="https://www.softportal.com/software-18737-nero-burning-rom.html" TargetMode="External"/><Relationship Id="rId45" Type="http://schemas.openxmlformats.org/officeDocument/2006/relationships/hyperlink" Target="https://www.softportal.com/software-36443-dvd-drive-repair.html" TargetMode="External"/><Relationship Id="rId5" Type="http://schemas.openxmlformats.org/officeDocument/2006/relationships/hyperlink" Target="https://www.softportal.com/software-31826-soft4boost-easy-disc-burner.html" TargetMode="External"/><Relationship Id="rId15" Type="http://schemas.openxmlformats.org/officeDocument/2006/relationships/hyperlink" Target="https://www.softportal.com/software-33148-any-burn.html" TargetMode="External"/><Relationship Id="rId23" Type="http://schemas.openxmlformats.org/officeDocument/2006/relationships/hyperlink" Target="https://www.softportal.com/software-2419-anydvd-hd.html" TargetMode="External"/><Relationship Id="rId28" Type="http://schemas.openxmlformats.org/officeDocument/2006/relationships/hyperlink" Target="https://www.softportal.com/software-48250-cdrtfe.html" TargetMode="External"/><Relationship Id="rId36" Type="http://schemas.openxmlformats.org/officeDocument/2006/relationships/hyperlink" Target="https://www.softportal.com/software-3184-virtual-clonedrive.html" TargetMode="External"/><Relationship Id="rId49" Type="http://schemas.openxmlformats.org/officeDocument/2006/relationships/table" Target="../tables/table2.xml"/><Relationship Id="rId10" Type="http://schemas.openxmlformats.org/officeDocument/2006/relationships/hyperlink" Target="https://www.softportal.com/software-21851-winbin2iso.html" TargetMode="External"/><Relationship Id="rId19" Type="http://schemas.openxmlformats.org/officeDocument/2006/relationships/hyperlink" Target="https://www.softportal.com/software-48726-cd-dvd-encryption.html" TargetMode="External"/><Relationship Id="rId31" Type="http://schemas.openxmlformats.org/officeDocument/2006/relationships/hyperlink" Target="https://www.softportal.com/software-38393-daemon-tools-ultra.html" TargetMode="External"/><Relationship Id="rId44" Type="http://schemas.openxmlformats.org/officeDocument/2006/relationships/hyperlink" Target="https://www.softportal.com/software-41672-qemu.html" TargetMode="External"/><Relationship Id="rId4" Type="http://schemas.openxmlformats.org/officeDocument/2006/relationships/hyperlink" Target="https://www.softportal.com/software-33810-soft4boost-burning-studio.html" TargetMode="External"/><Relationship Id="rId9" Type="http://schemas.openxmlformats.org/officeDocument/2006/relationships/hyperlink" Target="https://www.softportal.com/software-4495-poweriso.html" TargetMode="External"/><Relationship Id="rId14" Type="http://schemas.openxmlformats.org/officeDocument/2006/relationships/hyperlink" Target="https://www.softportal.com/software-48626-imgdrive.html" TargetMode="External"/><Relationship Id="rId22" Type="http://schemas.openxmlformats.org/officeDocument/2006/relationships/hyperlink" Target="https://www.softportal.com/software-39233-r-drive-image.html" TargetMode="External"/><Relationship Id="rId27" Type="http://schemas.openxmlformats.org/officeDocument/2006/relationships/hyperlink" Target="https://www.softportal.com/software-28891-wonderfox-dvd-ripper.html" TargetMode="External"/><Relationship Id="rId30" Type="http://schemas.openxmlformats.org/officeDocument/2006/relationships/hyperlink" Target="https://www.softportal.com/software-38408-daemon-tools-pro.html" TargetMode="External"/><Relationship Id="rId35" Type="http://schemas.openxmlformats.org/officeDocument/2006/relationships/hyperlink" Target="https://www.softportal.com/software-38298-clonebd.html" TargetMode="External"/><Relationship Id="rId43" Type="http://schemas.openxmlformats.org/officeDocument/2006/relationships/hyperlink" Target="https://www.softportal.com/software-2464-ultraiso.html" TargetMode="External"/><Relationship Id="rId48" Type="http://schemas.openxmlformats.org/officeDocument/2006/relationships/table" Target="../tables/table1.xml"/><Relationship Id="rId8" Type="http://schemas.openxmlformats.org/officeDocument/2006/relationships/hyperlink" Target="https://www.softportal.com/software-8256-burnaware-free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ftportal.com/software-8256-burnaware-free.html" TargetMode="External"/><Relationship Id="rId13" Type="http://schemas.openxmlformats.org/officeDocument/2006/relationships/hyperlink" Target="https://www.softportal.com/software-4328-ashampoo-burning-studio.html" TargetMode="External"/><Relationship Id="rId18" Type="http://schemas.openxmlformats.org/officeDocument/2006/relationships/hyperlink" Target="https://www.softportal.com/software-1838-isobuster.html" TargetMode="External"/><Relationship Id="rId26" Type="http://schemas.openxmlformats.org/officeDocument/2006/relationships/hyperlink" Target="https://www.softportal.com/software-22788-winsetupfromusb.html" TargetMode="External"/><Relationship Id="rId39" Type="http://schemas.openxmlformats.org/officeDocument/2006/relationships/hyperlink" Target="https://www.softportal.com/software-28583-nero-coverdesigner.html" TargetMode="External"/><Relationship Id="rId3" Type="http://schemas.openxmlformats.org/officeDocument/2006/relationships/hyperlink" Target="https://www.softportal.com/software-34933-soft4boost-disc-cover-studio.html" TargetMode="External"/><Relationship Id="rId21" Type="http://schemas.openxmlformats.org/officeDocument/2006/relationships/hyperlink" Target="https://www.softportal.com/software-15145-ashampoo-burning-studio.html" TargetMode="External"/><Relationship Id="rId34" Type="http://schemas.openxmlformats.org/officeDocument/2006/relationships/hyperlink" Target="https://www.softportal.com/software-1521-alcohol-120.html" TargetMode="External"/><Relationship Id="rId42" Type="http://schemas.openxmlformats.org/officeDocument/2006/relationships/hyperlink" Target="https://www.softportal.com/software-33018-ignition.html" TargetMode="External"/><Relationship Id="rId47" Type="http://schemas.openxmlformats.org/officeDocument/2006/relationships/hyperlink" Target="https://www.softportal.com/software-29027-avs-disc-creator.html" TargetMode="External"/><Relationship Id="rId7" Type="http://schemas.openxmlformats.org/officeDocument/2006/relationships/hyperlink" Target="https://www.softportal.com/software-4110-dvdfab.html" TargetMode="External"/><Relationship Id="rId12" Type="http://schemas.openxmlformats.org/officeDocument/2006/relationships/hyperlink" Target="https://www.softportal.com/software-36475-wintousb.html" TargetMode="External"/><Relationship Id="rId17" Type="http://schemas.openxmlformats.org/officeDocument/2006/relationships/hyperlink" Target="https://www.softportal.com/software-23469-universal-usb-installer.html" TargetMode="External"/><Relationship Id="rId25" Type="http://schemas.openxmlformats.org/officeDocument/2006/relationships/hyperlink" Target="https://www.softportal.com/software-40960-minitool-partition-wizard-bootable.html" TargetMode="External"/><Relationship Id="rId33" Type="http://schemas.openxmlformats.org/officeDocument/2006/relationships/hyperlink" Target="https://www.softportal.com/software-17873-alcohol-52-free-edition.html" TargetMode="External"/><Relationship Id="rId38" Type="http://schemas.openxmlformats.org/officeDocument/2006/relationships/hyperlink" Target="https://www.softportal.com/software-34698-nero-video.html" TargetMode="External"/><Relationship Id="rId46" Type="http://schemas.openxmlformats.org/officeDocument/2006/relationships/hyperlink" Target="https://www.softportal.com/software-22066-osfmount.html" TargetMode="External"/><Relationship Id="rId2" Type="http://schemas.openxmlformats.org/officeDocument/2006/relationships/hyperlink" Target="https://www.softportal.com/software-37928-soft4boost-dvd-creator.html" TargetMode="External"/><Relationship Id="rId16" Type="http://schemas.openxmlformats.org/officeDocument/2006/relationships/hyperlink" Target="https://www.softportal.com/software-10-daemon-tools.html" TargetMode="External"/><Relationship Id="rId20" Type="http://schemas.openxmlformats.org/officeDocument/2006/relationships/hyperlink" Target="https://www.softportal.com/software-21647-iso-workshop.html" TargetMode="External"/><Relationship Id="rId29" Type="http://schemas.openxmlformats.org/officeDocument/2006/relationships/hyperlink" Target="https://www.softportal.com/software-12173-dvdstyler.html" TargetMode="External"/><Relationship Id="rId41" Type="http://schemas.openxmlformats.org/officeDocument/2006/relationships/hyperlink" Target="https://www.softportal.com/software-35903-virtualdvd-media-emulator.html" TargetMode="External"/><Relationship Id="rId1" Type="http://schemas.openxmlformats.org/officeDocument/2006/relationships/hyperlink" Target="https://www.softportal.com/software-34301-true-burner.html" TargetMode="External"/><Relationship Id="rId6" Type="http://schemas.openxmlformats.org/officeDocument/2006/relationships/hyperlink" Target="https://www.softportal.com/software-31825-soft4boost-dvd-cloner.html" TargetMode="External"/><Relationship Id="rId11" Type="http://schemas.openxmlformats.org/officeDocument/2006/relationships/hyperlink" Target="https://www.softportal.com/software-1502-dvd-cloner.html" TargetMode="External"/><Relationship Id="rId24" Type="http://schemas.openxmlformats.org/officeDocument/2006/relationships/hyperlink" Target="https://www.softportal.com/software-45141-etcher.html" TargetMode="External"/><Relationship Id="rId32" Type="http://schemas.openxmlformats.org/officeDocument/2006/relationships/hyperlink" Target="https://www.softportal.com/software-41209-alcohol-120.html" TargetMode="External"/><Relationship Id="rId37" Type="http://schemas.openxmlformats.org/officeDocument/2006/relationships/hyperlink" Target="https://www.softportal.com/software-15956-express-burn.html" TargetMode="External"/><Relationship Id="rId40" Type="http://schemas.openxmlformats.org/officeDocument/2006/relationships/hyperlink" Target="https://www.softportal.com/software-18737-nero-burning-rom.html" TargetMode="External"/><Relationship Id="rId45" Type="http://schemas.openxmlformats.org/officeDocument/2006/relationships/hyperlink" Target="https://www.softportal.com/software-36443-dvd-drive-repair.html" TargetMode="External"/><Relationship Id="rId5" Type="http://schemas.openxmlformats.org/officeDocument/2006/relationships/hyperlink" Target="https://www.softportal.com/software-31826-soft4boost-easy-disc-burner.html" TargetMode="External"/><Relationship Id="rId15" Type="http://schemas.openxmlformats.org/officeDocument/2006/relationships/hyperlink" Target="https://www.softportal.com/software-33148-any-burn.html" TargetMode="External"/><Relationship Id="rId23" Type="http://schemas.openxmlformats.org/officeDocument/2006/relationships/hyperlink" Target="https://www.softportal.com/software-2419-anydvd-hd.html" TargetMode="External"/><Relationship Id="rId28" Type="http://schemas.openxmlformats.org/officeDocument/2006/relationships/hyperlink" Target="https://www.softportal.com/software-48250-cdrtfe.html" TargetMode="External"/><Relationship Id="rId36" Type="http://schemas.openxmlformats.org/officeDocument/2006/relationships/hyperlink" Target="https://www.softportal.com/software-3184-virtual-clonedrive.html" TargetMode="External"/><Relationship Id="rId10" Type="http://schemas.openxmlformats.org/officeDocument/2006/relationships/hyperlink" Target="https://www.softportal.com/software-21851-winbin2iso.html" TargetMode="External"/><Relationship Id="rId19" Type="http://schemas.openxmlformats.org/officeDocument/2006/relationships/hyperlink" Target="https://www.softportal.com/software-48726-cd-dvd-encryption.html" TargetMode="External"/><Relationship Id="rId31" Type="http://schemas.openxmlformats.org/officeDocument/2006/relationships/hyperlink" Target="https://www.softportal.com/software-38393-daemon-tools-ultra.html" TargetMode="External"/><Relationship Id="rId44" Type="http://schemas.openxmlformats.org/officeDocument/2006/relationships/hyperlink" Target="https://www.softportal.com/software-41672-qemu.html" TargetMode="External"/><Relationship Id="rId4" Type="http://schemas.openxmlformats.org/officeDocument/2006/relationships/hyperlink" Target="https://www.softportal.com/software-33810-soft4boost-burning-studio.html" TargetMode="External"/><Relationship Id="rId9" Type="http://schemas.openxmlformats.org/officeDocument/2006/relationships/hyperlink" Target="https://www.softportal.com/software-4495-poweriso.html" TargetMode="External"/><Relationship Id="rId14" Type="http://schemas.openxmlformats.org/officeDocument/2006/relationships/hyperlink" Target="https://www.softportal.com/software-48626-imgdrive.html" TargetMode="External"/><Relationship Id="rId22" Type="http://schemas.openxmlformats.org/officeDocument/2006/relationships/hyperlink" Target="https://www.softportal.com/software-39233-r-drive-image.html" TargetMode="External"/><Relationship Id="rId27" Type="http://schemas.openxmlformats.org/officeDocument/2006/relationships/hyperlink" Target="https://www.softportal.com/software-28891-wonderfox-dvd-ripper.html" TargetMode="External"/><Relationship Id="rId30" Type="http://schemas.openxmlformats.org/officeDocument/2006/relationships/hyperlink" Target="https://www.softportal.com/software-38408-daemon-tools-pro.html" TargetMode="External"/><Relationship Id="rId35" Type="http://schemas.openxmlformats.org/officeDocument/2006/relationships/hyperlink" Target="https://www.softportal.com/software-38298-clonebd.html" TargetMode="External"/><Relationship Id="rId43" Type="http://schemas.openxmlformats.org/officeDocument/2006/relationships/hyperlink" Target="https://www.softportal.com/software-2464-ultraiso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"/>
  <sheetViews>
    <sheetView tabSelected="1" topLeftCell="H1" workbookViewId="0">
      <selection activeCell="Z19" sqref="Z19:Z21"/>
    </sheetView>
  </sheetViews>
  <sheetFormatPr defaultRowHeight="15" x14ac:dyDescent="0.25"/>
  <cols>
    <col min="1" max="1" width="7" style="4" customWidth="1"/>
    <col min="2" max="10" width="9" style="4" customWidth="1"/>
    <col min="11" max="16" width="9" hidden="1" customWidth="1"/>
    <col min="17" max="17" width="9" customWidth="1"/>
    <col min="18" max="18" width="19" hidden="1" customWidth="1"/>
    <col min="19" max="19" width="19.28515625" hidden="1" customWidth="1"/>
    <col min="20" max="20" width="9" customWidth="1"/>
    <col min="21" max="21" width="16.85546875" hidden="1" customWidth="1"/>
    <col min="22" max="22" width="9" customWidth="1"/>
    <col min="23" max="26" width="11.85546875" customWidth="1"/>
  </cols>
  <sheetData>
    <row r="1" spans="1:26" ht="18" x14ac:dyDescent="0.35">
      <c r="C1" s="5" t="s">
        <v>59</v>
      </c>
      <c r="D1" s="5" t="s">
        <v>60</v>
      </c>
      <c r="E1" s="5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</row>
    <row r="2" spans="1:2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7" t="s">
        <v>67</v>
      </c>
      <c r="Q2" t="s">
        <v>72</v>
      </c>
      <c r="R2" t="s">
        <v>73</v>
      </c>
      <c r="S2" t="s">
        <v>74</v>
      </c>
      <c r="T2" t="s">
        <v>75</v>
      </c>
      <c r="U2" t="s">
        <v>76</v>
      </c>
      <c r="V2" t="s">
        <v>67</v>
      </c>
      <c r="X2" t="s">
        <v>77</v>
      </c>
    </row>
    <row r="3" spans="1:26" x14ac:dyDescent="0.25">
      <c r="A3">
        <v>2</v>
      </c>
      <c r="B3" s="2" t="s">
        <v>10</v>
      </c>
      <c r="C3">
        <v>51196</v>
      </c>
      <c r="D3">
        <v>40887</v>
      </c>
      <c r="E3">
        <v>41944</v>
      </c>
      <c r="F3">
        <v>40125</v>
      </c>
      <c r="G3">
        <v>38782</v>
      </c>
      <c r="H3">
        <v>35823</v>
      </c>
      <c r="I3">
        <v>35098</v>
      </c>
      <c r="J3">
        <v>37552</v>
      </c>
      <c r="L3" s="8">
        <f>_xlfn.STDEV.P(C3:J3)/AVERAGE(C3:J3)</f>
        <v>0.11761864228580589</v>
      </c>
      <c r="P3" t="str">
        <f>IF(L3&lt;10%,"X",IF(L3&lt;25%,"Y","Z"))</f>
        <v>Y</v>
      </c>
      <c r="Q3">
        <f>SUM(C3:J3)</f>
        <v>321407</v>
      </c>
      <c r="R3" s="9">
        <f>Q3/SUM($Q$3:$Q$51)</f>
        <v>0.38033090671564079</v>
      </c>
      <c r="S3" s="9">
        <f>SUM($R$3:R3)</f>
        <v>0.38033090671564079</v>
      </c>
      <c r="T3" t="str">
        <f>IF(S3&lt;80%,"A",IF(S3&lt;95%,"B","C"))</f>
        <v>A</v>
      </c>
      <c r="U3" s="9">
        <f>_xlfn.STDEV.P(C3:J3)/AVERAGE(C3:J3)</f>
        <v>0.11761864228580589</v>
      </c>
      <c r="V3" t="str">
        <f>IF(U3&lt;10%,"X",IF(U3&lt;25%,"Y","Z"))</f>
        <v>Y</v>
      </c>
      <c r="W3" t="s">
        <v>84</v>
      </c>
      <c r="X3" t="s">
        <v>85</v>
      </c>
      <c r="Y3" t="s">
        <v>86</v>
      </c>
      <c r="Z3" t="s">
        <v>87</v>
      </c>
    </row>
    <row r="4" spans="1:26" x14ac:dyDescent="0.25">
      <c r="A4">
        <v>3</v>
      </c>
      <c r="B4" s="2" t="s">
        <v>11</v>
      </c>
      <c r="C4">
        <v>28908</v>
      </c>
      <c r="D4">
        <v>22336</v>
      </c>
      <c r="E4">
        <v>59156</v>
      </c>
      <c r="F4">
        <v>45400</v>
      </c>
      <c r="G4">
        <v>49171</v>
      </c>
      <c r="H4">
        <v>45400</v>
      </c>
      <c r="I4">
        <v>34748</v>
      </c>
      <c r="J4">
        <v>37980</v>
      </c>
      <c r="L4" s="8">
        <f>_xlfn.STDEV.P(C4:J4)/AVERAGE(C4:J4)</f>
        <v>0.27333025996000909</v>
      </c>
      <c r="P4" t="str">
        <f>IF(L4&lt;10%,"X",IF(L4&lt;25%,"Y","Z"))</f>
        <v>Z</v>
      </c>
      <c r="Q4">
        <f>SUM(C4:J4)</f>
        <v>323099</v>
      </c>
      <c r="R4" s="9">
        <f t="shared" ref="R4:R51" si="0">Q4/SUM($Q$3:$Q$51)</f>
        <v>0.38233310297820777</v>
      </c>
      <c r="S4" s="9">
        <f>SUM($R$3:R4)</f>
        <v>0.76266400969384862</v>
      </c>
      <c r="T4" t="str">
        <f t="shared" ref="T4:T51" si="1">IF(S4&lt;80%,"A",IF(S4&lt;95%,"B","C"))</f>
        <v>A</v>
      </c>
      <c r="U4" s="9">
        <f t="shared" ref="U4:U51" si="2">_xlfn.STDEV.P(C4:J4)/AVERAGE(C4:J4)</f>
        <v>0.27333025996000909</v>
      </c>
      <c r="V4" t="str">
        <f t="shared" ref="V4:V51" si="3">IF(U4&lt;10%,"X",IF(U4&lt;25%,"Y","Z"))</f>
        <v>Z</v>
      </c>
      <c r="X4" t="s">
        <v>81</v>
      </c>
      <c r="Y4" t="s">
        <v>82</v>
      </c>
      <c r="Z4" t="s">
        <v>83</v>
      </c>
    </row>
    <row r="5" spans="1:26" x14ac:dyDescent="0.25">
      <c r="A5">
        <v>4</v>
      </c>
      <c r="B5" s="2" t="s">
        <v>12</v>
      </c>
      <c r="C5">
        <v>8027</v>
      </c>
      <c r="D5">
        <v>6511</v>
      </c>
      <c r="E5">
        <v>7749</v>
      </c>
      <c r="F5">
        <v>7321</v>
      </c>
      <c r="G5">
        <v>7412</v>
      </c>
      <c r="H5">
        <v>6208</v>
      </c>
      <c r="I5">
        <v>5472</v>
      </c>
      <c r="J5">
        <v>5281</v>
      </c>
      <c r="L5" s="8">
        <f>_xlfn.STDEV.P(C5:J5)/AVERAGE(C5:J5)</f>
        <v>0.14382969994345707</v>
      </c>
      <c r="P5" t="str">
        <f>IF(L5&lt;10%,"X",IF(L5&lt;25%,"Y","Z"))</f>
        <v>Y</v>
      </c>
      <c r="Q5">
        <f>SUM(C5:J5)</f>
        <v>53981</v>
      </c>
      <c r="R5" s="9">
        <f t="shared" si="0"/>
        <v>6.3877397428858132E-2</v>
      </c>
      <c r="S5" s="9">
        <f>SUM($R$3:R5)</f>
        <v>0.82654140712270674</v>
      </c>
      <c r="T5" t="str">
        <f t="shared" si="1"/>
        <v>B</v>
      </c>
      <c r="U5" s="9">
        <f t="shared" si="2"/>
        <v>0.14382969994345707</v>
      </c>
      <c r="V5" t="str">
        <f t="shared" si="3"/>
        <v>Y</v>
      </c>
      <c r="W5" t="s">
        <v>78</v>
      </c>
      <c r="X5">
        <f>COUNTIFS($T:$T,$W5,$V:$V,X$4)</f>
        <v>0</v>
      </c>
      <c r="Y5">
        <f t="shared" ref="Y5:Z7" si="4">COUNTIFS($T:$T,$W5,$V:$V,Y$4)</f>
        <v>1</v>
      </c>
      <c r="Z5">
        <f t="shared" si="4"/>
        <v>1</v>
      </c>
    </row>
    <row r="6" spans="1:26" x14ac:dyDescent="0.25">
      <c r="A6">
        <v>5</v>
      </c>
      <c r="B6" s="2" t="s">
        <v>13</v>
      </c>
      <c r="C6">
        <v>5335</v>
      </c>
      <c r="D6">
        <v>4092</v>
      </c>
      <c r="E6">
        <v>4306</v>
      </c>
      <c r="F6">
        <v>3776</v>
      </c>
      <c r="G6">
        <v>3425</v>
      </c>
      <c r="H6">
        <v>3114</v>
      </c>
      <c r="I6">
        <v>3253</v>
      </c>
      <c r="J6">
        <v>3618</v>
      </c>
      <c r="L6" s="8">
        <f>_xlfn.STDEV.P(C6:J6)/AVERAGE(C6:J6)</f>
        <v>0.17376084038636294</v>
      </c>
      <c r="P6" t="str">
        <f>IF(L6&lt;10%,"X",IF(L6&lt;25%,"Y","Z"))</f>
        <v>Y</v>
      </c>
      <c r="Q6">
        <f>SUM(C6:J6)</f>
        <v>30919</v>
      </c>
      <c r="R6" s="9">
        <f t="shared" si="0"/>
        <v>3.6587415036825263E-2</v>
      </c>
      <c r="S6" s="9">
        <f>SUM($R$3:R6)</f>
        <v>0.86312882215953202</v>
      </c>
      <c r="T6" t="str">
        <f t="shared" si="1"/>
        <v>B</v>
      </c>
      <c r="U6" s="9">
        <f t="shared" si="2"/>
        <v>0.17376084038636294</v>
      </c>
      <c r="V6" t="str">
        <f t="shared" si="3"/>
        <v>Y</v>
      </c>
      <c r="W6" t="s">
        <v>79</v>
      </c>
      <c r="X6">
        <f t="shared" ref="X6:X7" si="5">COUNTIFS($T:$T,$W6,$V:$V,X$4)</f>
        <v>2</v>
      </c>
      <c r="Y6">
        <f t="shared" si="4"/>
        <v>7</v>
      </c>
      <c r="Z6">
        <f t="shared" si="4"/>
        <v>1</v>
      </c>
    </row>
    <row r="7" spans="1:26" x14ac:dyDescent="0.25">
      <c r="A7">
        <v>6</v>
      </c>
      <c r="B7" s="2" t="s">
        <v>14</v>
      </c>
      <c r="C7">
        <v>1978</v>
      </c>
      <c r="D7">
        <v>1621</v>
      </c>
      <c r="E7">
        <v>2017</v>
      </c>
      <c r="F7">
        <v>1800</v>
      </c>
      <c r="G7">
        <v>1864</v>
      </c>
      <c r="H7">
        <v>1790</v>
      </c>
      <c r="I7">
        <v>1387</v>
      </c>
      <c r="J7">
        <v>1376</v>
      </c>
      <c r="L7" s="8">
        <f>_xlfn.STDEV.P(C7:J7)/AVERAGE(C7:J7)</f>
        <v>0.13332431116784121</v>
      </c>
      <c r="P7" t="str">
        <f>IF(L7&lt;10%,"X",IF(L7&lt;25%,"Y","Z"))</f>
        <v>Y</v>
      </c>
      <c r="Q7">
        <f>SUM(C7:J7)</f>
        <v>13833</v>
      </c>
      <c r="R7" s="9">
        <f t="shared" si="0"/>
        <v>1.6369019444497038E-2</v>
      </c>
      <c r="S7" s="9">
        <f>SUM($R$3:R7)</f>
        <v>0.87949784160402911</v>
      </c>
      <c r="T7" t="str">
        <f t="shared" si="1"/>
        <v>B</v>
      </c>
      <c r="U7" s="9">
        <f t="shared" si="2"/>
        <v>0.13332431116784121</v>
      </c>
      <c r="V7" t="str">
        <f t="shared" si="3"/>
        <v>Y</v>
      </c>
      <c r="W7" t="s">
        <v>80</v>
      </c>
      <c r="X7">
        <f t="shared" si="5"/>
        <v>3</v>
      </c>
      <c r="Y7">
        <f t="shared" si="4"/>
        <v>24</v>
      </c>
      <c r="Z7">
        <f t="shared" si="4"/>
        <v>10</v>
      </c>
    </row>
    <row r="8" spans="1:26" x14ac:dyDescent="0.25">
      <c r="A8">
        <v>7</v>
      </c>
      <c r="B8" s="2" t="s">
        <v>15</v>
      </c>
      <c r="C8">
        <v>1650</v>
      </c>
      <c r="D8">
        <v>1328</v>
      </c>
      <c r="E8">
        <v>1292</v>
      </c>
      <c r="F8">
        <v>1465</v>
      </c>
      <c r="G8">
        <v>1591</v>
      </c>
      <c r="H8">
        <v>1420</v>
      </c>
      <c r="I8">
        <v>1425</v>
      </c>
      <c r="J8">
        <v>1334</v>
      </c>
      <c r="L8" s="8">
        <f>_xlfn.STDEV.P(C8:J8)/AVERAGE(C8:J8)</f>
        <v>8.2935911031216877E-2</v>
      </c>
      <c r="P8" t="str">
        <f>IF(L8&lt;10%,"X",IF(L8&lt;25%,"Y","Z"))</f>
        <v>X</v>
      </c>
      <c r="Q8">
        <f>SUM(C8:J8)</f>
        <v>11505</v>
      </c>
      <c r="R8" s="9">
        <f t="shared" si="0"/>
        <v>1.3614224586780771E-2</v>
      </c>
      <c r="S8" s="9">
        <f>SUM($R$3:R8)</f>
        <v>0.89311206619080985</v>
      </c>
      <c r="T8" t="str">
        <f t="shared" si="1"/>
        <v>B</v>
      </c>
      <c r="U8" s="9">
        <f t="shared" si="2"/>
        <v>8.2935911031216877E-2</v>
      </c>
      <c r="V8" t="str">
        <f t="shared" si="3"/>
        <v>X</v>
      </c>
    </row>
    <row r="9" spans="1:26" x14ac:dyDescent="0.25">
      <c r="A9">
        <v>8</v>
      </c>
      <c r="B9" s="2" t="s">
        <v>16</v>
      </c>
      <c r="C9">
        <v>1478</v>
      </c>
      <c r="D9">
        <v>1220</v>
      </c>
      <c r="E9">
        <v>1515</v>
      </c>
      <c r="F9">
        <v>1446</v>
      </c>
      <c r="G9">
        <v>1480</v>
      </c>
      <c r="H9">
        <v>1134</v>
      </c>
      <c r="I9">
        <v>1269</v>
      </c>
      <c r="J9">
        <v>1125</v>
      </c>
      <c r="L9" s="8">
        <f>_xlfn.STDEV.P(C9:J9)/AVERAGE(C9:J9)</f>
        <v>0.11504744218534246</v>
      </c>
      <c r="P9" t="str">
        <f>IF(L9&lt;10%,"X",IF(L9&lt;25%,"Y","Z"))</f>
        <v>Y</v>
      </c>
      <c r="Q9">
        <f>SUM(C9:J9)</f>
        <v>10667</v>
      </c>
      <c r="R9" s="9">
        <f t="shared" si="0"/>
        <v>1.2622593104492872E-2</v>
      </c>
      <c r="S9" s="9">
        <f>SUM($R$3:R9)</f>
        <v>0.90573465929530272</v>
      </c>
      <c r="T9" t="str">
        <f t="shared" si="1"/>
        <v>B</v>
      </c>
      <c r="U9" s="9">
        <f t="shared" si="2"/>
        <v>0.11504744218534246</v>
      </c>
      <c r="V9" t="str">
        <f t="shared" si="3"/>
        <v>Y</v>
      </c>
      <c r="X9" t="s">
        <v>88</v>
      </c>
    </row>
    <row r="10" spans="1:26" x14ac:dyDescent="0.25">
      <c r="A10">
        <v>9</v>
      </c>
      <c r="B10" s="2" t="s">
        <v>17</v>
      </c>
      <c r="C10">
        <v>1376</v>
      </c>
      <c r="D10">
        <v>1259</v>
      </c>
      <c r="E10">
        <v>1099</v>
      </c>
      <c r="F10">
        <v>1011</v>
      </c>
      <c r="G10">
        <v>840</v>
      </c>
      <c r="H10">
        <v>726</v>
      </c>
      <c r="I10">
        <v>784</v>
      </c>
      <c r="J10">
        <v>983</v>
      </c>
      <c r="L10" s="8">
        <f>_xlfn.STDEV.P(C10:J10)/AVERAGE(C10:J10)</f>
        <v>0.21160699235242048</v>
      </c>
      <c r="P10" t="str">
        <f>IF(L10&lt;10%,"X",IF(L10&lt;25%,"Y","Z"))</f>
        <v>Y</v>
      </c>
      <c r="Q10">
        <f>SUM(C10:J10)</f>
        <v>8078</v>
      </c>
      <c r="R10" s="9">
        <f t="shared" si="0"/>
        <v>9.5589488232955301E-3</v>
      </c>
      <c r="S10" s="9">
        <f>SUM($R$3:R10)</f>
        <v>0.91529360811859828</v>
      </c>
      <c r="T10" t="str">
        <f t="shared" si="1"/>
        <v>B</v>
      </c>
      <c r="U10" s="9">
        <f t="shared" si="2"/>
        <v>0.21160699235242048</v>
      </c>
      <c r="V10" t="str">
        <f t="shared" si="3"/>
        <v>Y</v>
      </c>
      <c r="W10" t="s">
        <v>84</v>
      </c>
      <c r="X10" t="s">
        <v>85</v>
      </c>
      <c r="Y10" t="s">
        <v>86</v>
      </c>
      <c r="Z10" t="s">
        <v>87</v>
      </c>
    </row>
    <row r="11" spans="1:26" x14ac:dyDescent="0.25">
      <c r="A11">
        <v>10</v>
      </c>
      <c r="B11" s="2" t="s">
        <v>18</v>
      </c>
      <c r="C11">
        <v>1090</v>
      </c>
      <c r="D11">
        <v>905</v>
      </c>
      <c r="E11">
        <v>1461</v>
      </c>
      <c r="F11">
        <v>1390</v>
      </c>
      <c r="G11">
        <v>1308</v>
      </c>
      <c r="H11">
        <v>1048</v>
      </c>
      <c r="I11">
        <v>803</v>
      </c>
      <c r="J11">
        <v>608</v>
      </c>
      <c r="L11" s="8">
        <f>_xlfn.STDEV.P(C11:J11)/AVERAGE(C11:J11)</f>
        <v>0.25949411571757347</v>
      </c>
      <c r="P11" t="str">
        <f>IF(L11&lt;10%,"X",IF(L11&lt;25%,"Y","Z"))</f>
        <v>Z</v>
      </c>
      <c r="Q11">
        <f>SUM(C11:J11)</f>
        <v>8613</v>
      </c>
      <c r="R11" s="9">
        <f t="shared" si="0"/>
        <v>1.0192030974875513E-2</v>
      </c>
      <c r="S11" s="9">
        <f>SUM($R$3:R11)</f>
        <v>0.92548563909347381</v>
      </c>
      <c r="T11" t="str">
        <f t="shared" si="1"/>
        <v>B</v>
      </c>
      <c r="U11" s="9">
        <f t="shared" si="2"/>
        <v>0.25949411571757347</v>
      </c>
      <c r="V11" t="str">
        <f t="shared" si="3"/>
        <v>Z</v>
      </c>
      <c r="X11" t="s">
        <v>81</v>
      </c>
      <c r="Y11" t="s">
        <v>82</v>
      </c>
      <c r="Z11" t="s">
        <v>83</v>
      </c>
    </row>
    <row r="12" spans="1:26" x14ac:dyDescent="0.25">
      <c r="A12">
        <v>11</v>
      </c>
      <c r="B12" s="2" t="s">
        <v>19</v>
      </c>
      <c r="C12">
        <v>877</v>
      </c>
      <c r="D12">
        <v>755</v>
      </c>
      <c r="E12">
        <v>915</v>
      </c>
      <c r="F12">
        <v>813</v>
      </c>
      <c r="G12">
        <v>735</v>
      </c>
      <c r="H12">
        <v>727</v>
      </c>
      <c r="I12">
        <v>754</v>
      </c>
      <c r="J12">
        <v>697</v>
      </c>
      <c r="L12" s="8">
        <f>_xlfn.STDEV.P(C12:J12)/AVERAGE(C12:J12)</f>
        <v>9.1975705994703394E-2</v>
      </c>
      <c r="P12" t="str">
        <f>IF(L12&lt;10%,"X",IF(L12&lt;25%,"Y","Z"))</f>
        <v>X</v>
      </c>
      <c r="Q12">
        <f>SUM(C12:J12)</f>
        <v>6273</v>
      </c>
      <c r="R12" s="9">
        <f t="shared" si="0"/>
        <v>7.4230361436658648E-3</v>
      </c>
      <c r="S12" s="9">
        <f>SUM($R$3:R12)</f>
        <v>0.93290867523713972</v>
      </c>
      <c r="T12" t="str">
        <f t="shared" si="1"/>
        <v>B</v>
      </c>
      <c r="U12" s="9">
        <f t="shared" si="2"/>
        <v>9.1975705994703394E-2</v>
      </c>
      <c r="V12" t="str">
        <f t="shared" si="3"/>
        <v>X</v>
      </c>
      <c r="W12" t="s">
        <v>78</v>
      </c>
      <c r="X12">
        <f>SUMIFS($Q:$Q,$T:$T,$W12,$V:$V,X$11)</f>
        <v>0</v>
      </c>
      <c r="Y12">
        <f>SUMIFS($Q:$Q,$T:$T,$W12,$V:$V,Y$11)</f>
        <v>321407</v>
      </c>
      <c r="Z12">
        <f t="shared" ref="Z12:Z14" si="6">SUMIFS($Q:$Q,$T:$T,$W12,$V:$V,Z$11)</f>
        <v>323099</v>
      </c>
    </row>
    <row r="13" spans="1:26" x14ac:dyDescent="0.25">
      <c r="A13">
        <v>12</v>
      </c>
      <c r="B13" s="2" t="s">
        <v>20</v>
      </c>
      <c r="C13">
        <v>837</v>
      </c>
      <c r="D13">
        <v>717</v>
      </c>
      <c r="E13">
        <v>869</v>
      </c>
      <c r="F13">
        <v>743</v>
      </c>
      <c r="G13">
        <v>818</v>
      </c>
      <c r="H13">
        <v>794</v>
      </c>
      <c r="I13">
        <v>741</v>
      </c>
      <c r="J13">
        <v>396</v>
      </c>
      <c r="L13" s="8">
        <f>_xlfn.STDEV.P(C13:J13)/AVERAGE(C13:J13)</f>
        <v>0.18760327563275148</v>
      </c>
      <c r="P13" t="str">
        <f>IF(L13&lt;10%,"X",IF(L13&lt;25%,"Y","Z"))</f>
        <v>Y</v>
      </c>
      <c r="Q13">
        <f>SUM(C13:J13)</f>
        <v>5915</v>
      </c>
      <c r="R13" s="9">
        <f t="shared" si="0"/>
        <v>6.9994036011132776E-3</v>
      </c>
      <c r="S13" s="9">
        <f>SUM($R$3:R13)</f>
        <v>0.939908078838253</v>
      </c>
      <c r="T13" t="str">
        <f t="shared" si="1"/>
        <v>B</v>
      </c>
      <c r="U13" s="9">
        <f t="shared" si="2"/>
        <v>0.18760327563275148</v>
      </c>
      <c r="V13" t="str">
        <f t="shared" si="3"/>
        <v>Y</v>
      </c>
      <c r="W13" t="s">
        <v>79</v>
      </c>
      <c r="X13">
        <f>SUMIFS($Q:$Q,$T:$T,$W13,$V:$V,X$11)</f>
        <v>17778</v>
      </c>
      <c r="Y13">
        <f t="shared" ref="Y13:Y14" si="7">SUMIFS($Q:$Q,$T:$T,$W13,$V:$V,Y$11)</f>
        <v>127743</v>
      </c>
      <c r="Z13">
        <f t="shared" si="6"/>
        <v>8613</v>
      </c>
    </row>
    <row r="14" spans="1:26" x14ac:dyDescent="0.25">
      <c r="A14">
        <v>13</v>
      </c>
      <c r="B14" s="2" t="s">
        <v>21</v>
      </c>
      <c r="C14">
        <v>766</v>
      </c>
      <c r="D14">
        <v>550</v>
      </c>
      <c r="E14">
        <v>679</v>
      </c>
      <c r="F14">
        <v>570</v>
      </c>
      <c r="G14">
        <v>491</v>
      </c>
      <c r="H14">
        <v>401</v>
      </c>
      <c r="I14">
        <v>414</v>
      </c>
      <c r="J14">
        <v>479</v>
      </c>
      <c r="L14" s="8">
        <f>_xlfn.STDEV.P(C14:J14)/AVERAGE(C14:J14)</f>
        <v>0.21818841196392369</v>
      </c>
      <c r="P14" t="str">
        <f>IF(L14&lt;10%,"X",IF(L14&lt;25%,"Y","Z"))</f>
        <v>Y</v>
      </c>
      <c r="Q14">
        <f>SUM(C14:J14)</f>
        <v>4350</v>
      </c>
      <c r="R14" s="9">
        <f t="shared" si="0"/>
        <v>5.1474903913512693E-3</v>
      </c>
      <c r="S14" s="9">
        <f>SUM($R$3:R14)</f>
        <v>0.94505556922960432</v>
      </c>
      <c r="T14" t="str">
        <f t="shared" si="1"/>
        <v>B</v>
      </c>
      <c r="U14" s="9">
        <f t="shared" si="2"/>
        <v>0.21818841196392369</v>
      </c>
      <c r="V14" t="str">
        <f t="shared" si="3"/>
        <v>Y</v>
      </c>
      <c r="W14" t="s">
        <v>80</v>
      </c>
      <c r="X14">
        <f>SUMIFS($Q:$Q,$T:$T,$W14,$V:$V,X$11)</f>
        <v>8401</v>
      </c>
      <c r="Y14">
        <f t="shared" si="7"/>
        <v>34740</v>
      </c>
      <c r="Z14">
        <f t="shared" si="6"/>
        <v>3291</v>
      </c>
    </row>
    <row r="15" spans="1:26" x14ac:dyDescent="0.25">
      <c r="A15">
        <v>14</v>
      </c>
      <c r="B15" s="2" t="s">
        <v>22</v>
      </c>
      <c r="C15">
        <v>761</v>
      </c>
      <c r="D15">
        <v>670</v>
      </c>
      <c r="E15">
        <v>627</v>
      </c>
      <c r="F15">
        <v>502</v>
      </c>
      <c r="G15">
        <v>537</v>
      </c>
      <c r="H15">
        <v>503</v>
      </c>
      <c r="I15">
        <v>483</v>
      </c>
      <c r="J15">
        <v>471</v>
      </c>
      <c r="L15" s="8">
        <f>_xlfn.STDEV.P(C15:J15)/AVERAGE(C15:J15)</f>
        <v>0.17267707806743141</v>
      </c>
      <c r="P15" t="str">
        <f>IF(L15&lt;10%,"X",IF(L15&lt;25%,"Y","Z"))</f>
        <v>Y</v>
      </c>
      <c r="Q15">
        <f>SUM(C15:J15)</f>
        <v>4554</v>
      </c>
      <c r="R15" s="9">
        <f t="shared" si="0"/>
        <v>5.3888899407387777E-3</v>
      </c>
      <c r="S15" s="9">
        <f>SUM($R$3:R15)</f>
        <v>0.95044445917034315</v>
      </c>
      <c r="T15" t="str">
        <f t="shared" si="1"/>
        <v>C</v>
      </c>
      <c r="U15" s="9">
        <f t="shared" si="2"/>
        <v>0.17267707806743141</v>
      </c>
      <c r="V15" t="str">
        <f t="shared" si="3"/>
        <v>Y</v>
      </c>
    </row>
    <row r="16" spans="1:26" x14ac:dyDescent="0.25">
      <c r="A16">
        <v>15</v>
      </c>
      <c r="B16" s="2" t="s">
        <v>23</v>
      </c>
      <c r="C16">
        <v>746</v>
      </c>
      <c r="D16">
        <v>617</v>
      </c>
      <c r="E16">
        <v>724</v>
      </c>
      <c r="F16">
        <v>673</v>
      </c>
      <c r="G16">
        <v>658</v>
      </c>
      <c r="H16">
        <v>623</v>
      </c>
      <c r="I16">
        <v>543</v>
      </c>
      <c r="J16">
        <v>605</v>
      </c>
      <c r="L16" s="8">
        <f>_xlfn.STDEV.P(C16:J16)/AVERAGE(C16:J16)</f>
        <v>9.5290876209815356E-2</v>
      </c>
      <c r="P16" t="str">
        <f>IF(L16&lt;10%,"X",IF(L16&lt;25%,"Y","Z"))</f>
        <v>X</v>
      </c>
      <c r="Q16">
        <f>SUM(C16:J16)</f>
        <v>5189</v>
      </c>
      <c r="R16" s="9">
        <f t="shared" si="0"/>
        <v>6.1403052047636179E-3</v>
      </c>
      <c r="S16" s="9">
        <f>SUM($R$3:R16)</f>
        <v>0.95658476437510676</v>
      </c>
      <c r="T16" t="str">
        <f t="shared" si="1"/>
        <v>C</v>
      </c>
      <c r="U16" s="9">
        <f t="shared" si="2"/>
        <v>9.5290876209815356E-2</v>
      </c>
      <c r="V16" t="str">
        <f t="shared" si="3"/>
        <v>X</v>
      </c>
      <c r="X16" t="s">
        <v>89</v>
      </c>
    </row>
    <row r="17" spans="1:26" x14ac:dyDescent="0.25">
      <c r="A17">
        <v>16</v>
      </c>
      <c r="B17" s="2" t="s">
        <v>24</v>
      </c>
      <c r="C17">
        <v>699</v>
      </c>
      <c r="D17">
        <v>507</v>
      </c>
      <c r="E17">
        <v>954</v>
      </c>
      <c r="F17">
        <v>871</v>
      </c>
      <c r="G17">
        <v>859</v>
      </c>
      <c r="H17">
        <v>675</v>
      </c>
      <c r="I17">
        <v>555</v>
      </c>
      <c r="J17">
        <v>526</v>
      </c>
      <c r="L17" s="8">
        <f>_xlfn.STDEV.P(C17:J17)/AVERAGE(C17:J17)</f>
        <v>0.22844573793294368</v>
      </c>
      <c r="P17" t="str">
        <f>IF(L17&lt;10%,"X",IF(L17&lt;25%,"Y","Z"))</f>
        <v>Y</v>
      </c>
      <c r="Q17">
        <f>SUM(C17:J17)</f>
        <v>5646</v>
      </c>
      <c r="R17" s="9">
        <f t="shared" si="0"/>
        <v>6.6810875286366133E-3</v>
      </c>
      <c r="S17" s="9">
        <f>SUM($R$3:R17)</f>
        <v>0.96326585190374336</v>
      </c>
      <c r="T17" t="str">
        <f t="shared" si="1"/>
        <v>C</v>
      </c>
      <c r="U17" s="9">
        <f t="shared" si="2"/>
        <v>0.22844573793294368</v>
      </c>
      <c r="V17" t="str">
        <f t="shared" si="3"/>
        <v>Y</v>
      </c>
      <c r="W17" t="s">
        <v>84</v>
      </c>
      <c r="X17" t="s">
        <v>85</v>
      </c>
      <c r="Y17" t="s">
        <v>86</v>
      </c>
      <c r="Z17" t="s">
        <v>87</v>
      </c>
    </row>
    <row r="18" spans="1:26" x14ac:dyDescent="0.25">
      <c r="A18">
        <v>17</v>
      </c>
      <c r="B18" s="2" t="s">
        <v>25</v>
      </c>
      <c r="C18">
        <v>670</v>
      </c>
      <c r="D18">
        <v>567</v>
      </c>
      <c r="E18">
        <v>689</v>
      </c>
      <c r="F18">
        <v>608</v>
      </c>
      <c r="G18">
        <v>556</v>
      </c>
      <c r="H18">
        <v>471</v>
      </c>
      <c r="I18">
        <v>491</v>
      </c>
      <c r="J18">
        <v>494</v>
      </c>
      <c r="L18" s="8">
        <f>_xlfn.STDEV.P(C18:J18)/AVERAGE(C18:J18)</f>
        <v>0.13574848911899634</v>
      </c>
      <c r="P18" t="str">
        <f>IF(L18&lt;10%,"X",IF(L18&lt;25%,"Y","Z"))</f>
        <v>Y</v>
      </c>
      <c r="Q18">
        <f>SUM(C18:J18)</f>
        <v>4546</v>
      </c>
      <c r="R18" s="9">
        <f t="shared" si="0"/>
        <v>5.379423291743189E-3</v>
      </c>
      <c r="S18" s="9">
        <f>SUM($R$3:R18)</f>
        <v>0.9686452751954866</v>
      </c>
      <c r="T18" t="str">
        <f t="shared" si="1"/>
        <v>C</v>
      </c>
      <c r="U18" s="9">
        <f t="shared" si="2"/>
        <v>0.13574848911899634</v>
      </c>
      <c r="V18" t="str">
        <f t="shared" si="3"/>
        <v>Y</v>
      </c>
      <c r="X18" t="s">
        <v>81</v>
      </c>
      <c r="Y18" t="s">
        <v>82</v>
      </c>
      <c r="Z18" t="s">
        <v>83</v>
      </c>
    </row>
    <row r="19" spans="1:26" x14ac:dyDescent="0.25">
      <c r="A19">
        <v>18</v>
      </c>
      <c r="B19" s="2" t="s">
        <v>26</v>
      </c>
      <c r="C19">
        <v>491</v>
      </c>
      <c r="D19">
        <v>442</v>
      </c>
      <c r="E19">
        <v>383</v>
      </c>
      <c r="F19">
        <v>317</v>
      </c>
      <c r="G19">
        <v>310</v>
      </c>
      <c r="H19">
        <v>421</v>
      </c>
      <c r="I19">
        <v>429</v>
      </c>
      <c r="J19">
        <v>379</v>
      </c>
      <c r="L19" s="8">
        <f>_xlfn.STDEV.P(C19:J19)/AVERAGE(C19:J19)</f>
        <v>0.14637775570945852</v>
      </c>
      <c r="P19" t="str">
        <f>IF(L19&lt;10%,"X",IF(L19&lt;25%,"Y","Z"))</f>
        <v>Y</v>
      </c>
      <c r="Q19">
        <f>SUM(C19:J19)</f>
        <v>3172</v>
      </c>
      <c r="R19" s="9">
        <f t="shared" si="0"/>
        <v>3.7535263267508569E-3</v>
      </c>
      <c r="S19" s="9">
        <f>SUM($R$3:R19)</f>
        <v>0.97239880152223745</v>
      </c>
      <c r="T19" t="str">
        <f t="shared" si="1"/>
        <v>C</v>
      </c>
      <c r="U19" s="9">
        <f t="shared" si="2"/>
        <v>0.14637775570945852</v>
      </c>
      <c r="V19" t="str">
        <f t="shared" si="3"/>
        <v>Y</v>
      </c>
      <c r="W19" t="s">
        <v>78</v>
      </c>
      <c r="X19" t="str">
        <f>IFERROR(X12/X5,"")</f>
        <v/>
      </c>
      <c r="Y19">
        <f t="shared" ref="Y19:Z19" si="8">IFERROR(Y12/Y5,"")</f>
        <v>321407</v>
      </c>
      <c r="Z19">
        <f t="shared" si="8"/>
        <v>323099</v>
      </c>
    </row>
    <row r="20" spans="1:26" x14ac:dyDescent="0.25">
      <c r="A20">
        <v>19</v>
      </c>
      <c r="B20" s="2" t="s">
        <v>27</v>
      </c>
      <c r="C20">
        <v>260</v>
      </c>
      <c r="D20">
        <v>250</v>
      </c>
      <c r="E20">
        <v>251</v>
      </c>
      <c r="F20">
        <v>278</v>
      </c>
      <c r="G20">
        <v>323</v>
      </c>
      <c r="H20">
        <v>287</v>
      </c>
      <c r="I20">
        <v>299</v>
      </c>
      <c r="J20">
        <v>287</v>
      </c>
      <c r="L20" s="8">
        <f>_xlfn.STDEV.P(C20:J20)/AVERAGE(C20:J20)</f>
        <v>8.4419227126542415E-2</v>
      </c>
      <c r="P20" t="str">
        <f>IF(L20&lt;10%,"X",IF(L20&lt;25%,"Y","Z"))</f>
        <v>X</v>
      </c>
      <c r="Q20">
        <f>SUM(C20:J20)</f>
        <v>2235</v>
      </c>
      <c r="R20" s="9">
        <f t="shared" si="0"/>
        <v>2.6447450631425489E-3</v>
      </c>
      <c r="S20" s="9">
        <f>SUM($R$3:R20)</f>
        <v>0.97504354658537995</v>
      </c>
      <c r="T20" t="str">
        <f t="shared" si="1"/>
        <v>C</v>
      </c>
      <c r="U20" s="9">
        <f t="shared" si="2"/>
        <v>8.4419227126542415E-2</v>
      </c>
      <c r="V20" t="str">
        <f t="shared" si="3"/>
        <v>X</v>
      </c>
      <c r="W20" t="s">
        <v>79</v>
      </c>
      <c r="X20">
        <f>IFERROR(X13/X6,"")</f>
        <v>8889</v>
      </c>
      <c r="Y20">
        <f t="shared" ref="Y20:Z20" si="9">IFERROR(Y13/Y6,"")</f>
        <v>18249</v>
      </c>
      <c r="Z20">
        <f t="shared" si="9"/>
        <v>8613</v>
      </c>
    </row>
    <row r="21" spans="1:26" x14ac:dyDescent="0.25">
      <c r="A21">
        <v>20</v>
      </c>
      <c r="B21" s="2" t="s">
        <v>28</v>
      </c>
      <c r="C21">
        <v>240</v>
      </c>
      <c r="D21">
        <v>181</v>
      </c>
      <c r="E21">
        <v>177</v>
      </c>
      <c r="F21">
        <v>166</v>
      </c>
      <c r="G21">
        <v>124</v>
      </c>
      <c r="H21">
        <v>155</v>
      </c>
      <c r="I21">
        <v>167</v>
      </c>
      <c r="J21">
        <v>177</v>
      </c>
      <c r="L21" s="8">
        <f>_xlfn.STDEV.P(C21:J21)/AVERAGE(C21:J21)</f>
        <v>0.17534952125978667</v>
      </c>
      <c r="P21" t="str">
        <f>IF(L21&lt;10%,"X",IF(L21&lt;25%,"Y","Z"))</f>
        <v>Y</v>
      </c>
      <c r="Q21">
        <f>SUM(C21:J21)</f>
        <v>1387</v>
      </c>
      <c r="R21" s="9">
        <f t="shared" si="0"/>
        <v>1.6412802696101634E-3</v>
      </c>
      <c r="S21" s="9">
        <f>SUM($R$3:R21)</f>
        <v>0.97668482685499014</v>
      </c>
      <c r="T21" t="str">
        <f t="shared" si="1"/>
        <v>C</v>
      </c>
      <c r="U21" s="9">
        <f t="shared" si="2"/>
        <v>0.17534952125978667</v>
      </c>
      <c r="V21" t="str">
        <f t="shared" si="3"/>
        <v>Y</v>
      </c>
      <c r="W21" t="s">
        <v>80</v>
      </c>
      <c r="X21">
        <f>IFERROR(X14/X7,"")</f>
        <v>2800.3333333333335</v>
      </c>
      <c r="Y21">
        <f t="shared" ref="Y21:Z21" si="10">IFERROR(Y14/Y7,"")</f>
        <v>1447.5</v>
      </c>
      <c r="Z21">
        <f t="shared" si="10"/>
        <v>329.1</v>
      </c>
    </row>
    <row r="22" spans="1:26" x14ac:dyDescent="0.25">
      <c r="A22">
        <v>21</v>
      </c>
      <c r="B22" s="2" t="s">
        <v>29</v>
      </c>
      <c r="C22">
        <v>238</v>
      </c>
      <c r="D22">
        <v>287</v>
      </c>
      <c r="E22">
        <v>307</v>
      </c>
      <c r="F22">
        <v>262</v>
      </c>
      <c r="G22">
        <v>209</v>
      </c>
      <c r="H22">
        <v>241</v>
      </c>
      <c r="I22">
        <v>189</v>
      </c>
      <c r="J22">
        <v>208</v>
      </c>
      <c r="L22" s="8">
        <f>_xlfn.STDEV.P(C22:J22)/AVERAGE(C22:J22)</f>
        <v>0.15774074532837637</v>
      </c>
      <c r="P22" t="str">
        <f>IF(L22&lt;10%,"X",IF(L22&lt;25%,"Y","Z"))</f>
        <v>Y</v>
      </c>
      <c r="Q22">
        <f>SUM(C22:J22)</f>
        <v>1941</v>
      </c>
      <c r="R22" s="9">
        <f t="shared" si="0"/>
        <v>2.2968457125546698E-3</v>
      </c>
      <c r="S22" s="9">
        <f>SUM($R$3:R22)</f>
        <v>0.97898167256754476</v>
      </c>
      <c r="T22" t="str">
        <f t="shared" si="1"/>
        <v>C</v>
      </c>
      <c r="U22" s="9">
        <f t="shared" si="2"/>
        <v>0.15774074532837637</v>
      </c>
      <c r="V22" t="str">
        <f t="shared" si="3"/>
        <v>Y</v>
      </c>
    </row>
    <row r="23" spans="1:26" x14ac:dyDescent="0.25">
      <c r="A23">
        <v>22</v>
      </c>
      <c r="B23" t="s">
        <v>30</v>
      </c>
      <c r="C23">
        <v>223</v>
      </c>
      <c r="D23">
        <v>216</v>
      </c>
      <c r="E23">
        <v>142</v>
      </c>
      <c r="F23">
        <v>178</v>
      </c>
      <c r="G23">
        <v>195</v>
      </c>
      <c r="H23">
        <v>177</v>
      </c>
      <c r="I23">
        <v>263</v>
      </c>
      <c r="J23">
        <v>269</v>
      </c>
      <c r="L23" s="8">
        <f>_xlfn.STDEV.P(C23:J23)/AVERAGE(C23:J23)</f>
        <v>0.19703490098861348</v>
      </c>
      <c r="P23" t="str">
        <f>IF(L23&lt;10%,"X",IF(L23&lt;25%,"Y","Z"))</f>
        <v>Y</v>
      </c>
      <c r="Q23">
        <f>SUM(C23:J23)</f>
        <v>1663</v>
      </c>
      <c r="R23" s="9">
        <f t="shared" si="0"/>
        <v>1.9678796599579681E-3</v>
      </c>
      <c r="S23" s="9">
        <f>SUM($R$3:R23)</f>
        <v>0.98094955222750269</v>
      </c>
      <c r="T23" t="str">
        <f t="shared" si="1"/>
        <v>C</v>
      </c>
      <c r="U23" s="9">
        <f t="shared" si="2"/>
        <v>0.19703490098861348</v>
      </c>
      <c r="V23" t="str">
        <f t="shared" si="3"/>
        <v>Y</v>
      </c>
    </row>
    <row r="24" spans="1:26" x14ac:dyDescent="0.25">
      <c r="A24">
        <v>23</v>
      </c>
      <c r="B24" s="2" t="s">
        <v>31</v>
      </c>
      <c r="C24">
        <v>176</v>
      </c>
      <c r="D24">
        <v>159</v>
      </c>
      <c r="E24">
        <v>190</v>
      </c>
      <c r="F24">
        <v>160</v>
      </c>
      <c r="G24">
        <v>139</v>
      </c>
      <c r="H24">
        <v>172</v>
      </c>
      <c r="I24">
        <v>149</v>
      </c>
      <c r="J24">
        <v>202</v>
      </c>
      <c r="L24" s="8">
        <f>_xlfn.STDEV.P(C24:J24)/AVERAGE(C24:J24)</f>
        <v>0.11626650557687308</v>
      </c>
      <c r="P24" t="str">
        <f>IF(L24&lt;10%,"X",IF(L24&lt;25%,"Y","Z"))</f>
        <v>Y</v>
      </c>
      <c r="Q24">
        <f>SUM(C24:J24)</f>
        <v>1347</v>
      </c>
      <c r="R24" s="9">
        <f t="shared" si="0"/>
        <v>1.5939470246322206E-3</v>
      </c>
      <c r="S24" s="9">
        <f>SUM($R$3:R24)</f>
        <v>0.98254349925213491</v>
      </c>
      <c r="T24" t="str">
        <f t="shared" si="1"/>
        <v>C</v>
      </c>
      <c r="U24" s="9">
        <f t="shared" si="2"/>
        <v>0.11626650557687308</v>
      </c>
      <c r="V24" t="str">
        <f t="shared" si="3"/>
        <v>Y</v>
      </c>
    </row>
    <row r="25" spans="1:26" x14ac:dyDescent="0.25">
      <c r="A25">
        <v>24</v>
      </c>
      <c r="B25" s="2" t="s">
        <v>32</v>
      </c>
      <c r="C25">
        <v>172</v>
      </c>
      <c r="D25">
        <v>148</v>
      </c>
      <c r="E25">
        <v>163</v>
      </c>
      <c r="F25">
        <v>115</v>
      </c>
      <c r="G25">
        <v>117</v>
      </c>
      <c r="H25">
        <v>112</v>
      </c>
      <c r="I25">
        <v>110</v>
      </c>
      <c r="J25">
        <v>129</v>
      </c>
      <c r="L25" s="8">
        <f>_xlfn.STDEV.P(C25:J25)/AVERAGE(C25:J25)</f>
        <v>0.17218931221870337</v>
      </c>
      <c r="P25" t="str">
        <f>IF(L25&lt;10%,"X",IF(L25&lt;25%,"Y","Z"))</f>
        <v>Y</v>
      </c>
      <c r="Q25">
        <f>SUM(C25:J25)</f>
        <v>1066</v>
      </c>
      <c r="R25" s="9">
        <f t="shared" si="0"/>
        <v>1.2614309786621732E-3</v>
      </c>
      <c r="S25" s="9">
        <f>SUM($R$3:R25)</f>
        <v>0.98380493023079707</v>
      </c>
      <c r="T25" t="str">
        <f t="shared" si="1"/>
        <v>C</v>
      </c>
      <c r="U25" s="9">
        <f t="shared" si="2"/>
        <v>0.17218931221870337</v>
      </c>
      <c r="V25" t="str">
        <f t="shared" si="3"/>
        <v>Y</v>
      </c>
    </row>
    <row r="26" spans="1:26" x14ac:dyDescent="0.25">
      <c r="A26">
        <v>25</v>
      </c>
      <c r="B26" s="2" t="s">
        <v>33</v>
      </c>
      <c r="C26">
        <v>168</v>
      </c>
      <c r="D26">
        <v>223</v>
      </c>
      <c r="E26">
        <v>268</v>
      </c>
      <c r="F26">
        <v>253</v>
      </c>
      <c r="G26">
        <v>264</v>
      </c>
      <c r="H26">
        <v>257</v>
      </c>
      <c r="I26">
        <v>219</v>
      </c>
      <c r="J26">
        <v>195</v>
      </c>
      <c r="L26" s="8">
        <f>_xlfn.STDEV.P(C26:J26)/AVERAGE(C26:J26)</f>
        <v>0.14600944197884458</v>
      </c>
      <c r="P26" t="str">
        <f>IF(L26&lt;10%,"X",IF(L26&lt;25%,"Y","Z"))</f>
        <v>Y</v>
      </c>
      <c r="Q26">
        <f>SUM(C26:J26)</f>
        <v>1847</v>
      </c>
      <c r="R26" s="9">
        <f t="shared" si="0"/>
        <v>2.1856125868565043E-3</v>
      </c>
      <c r="S26" s="9">
        <f>SUM($R$3:R26)</f>
        <v>0.98599054281765353</v>
      </c>
      <c r="T26" t="str">
        <f t="shared" si="1"/>
        <v>C</v>
      </c>
      <c r="U26" s="9">
        <f t="shared" si="2"/>
        <v>0.14600944197884458</v>
      </c>
      <c r="V26" t="str">
        <f t="shared" si="3"/>
        <v>Y</v>
      </c>
    </row>
    <row r="27" spans="1:26" x14ac:dyDescent="0.25">
      <c r="A27">
        <v>26</v>
      </c>
      <c r="B27" s="2" t="s">
        <v>34</v>
      </c>
      <c r="C27">
        <v>148</v>
      </c>
      <c r="D27">
        <v>95</v>
      </c>
      <c r="E27">
        <v>133</v>
      </c>
      <c r="F27">
        <v>109</v>
      </c>
      <c r="G27">
        <v>111</v>
      </c>
      <c r="H27">
        <v>107</v>
      </c>
      <c r="I27">
        <v>104</v>
      </c>
      <c r="J27">
        <v>95</v>
      </c>
      <c r="L27" s="8">
        <f>_xlfn.STDEV.P(C27:J27)/AVERAGE(C27:J27)</f>
        <v>0.15392243363023153</v>
      </c>
      <c r="P27" t="str">
        <f>IF(L27&lt;10%,"X",IF(L27&lt;25%,"Y","Z"))</f>
        <v>Y</v>
      </c>
      <c r="Q27">
        <f>SUM(C27:J27)</f>
        <v>902</v>
      </c>
      <c r="R27" s="9">
        <f t="shared" si="0"/>
        <v>1.0673646742526081E-3</v>
      </c>
      <c r="S27" s="9">
        <f>SUM($R$3:R27)</f>
        <v>0.98705790749190614</v>
      </c>
      <c r="T27" t="str">
        <f t="shared" si="1"/>
        <v>C</v>
      </c>
      <c r="U27" s="9">
        <f t="shared" si="2"/>
        <v>0.15392243363023153</v>
      </c>
      <c r="V27" t="str">
        <f t="shared" si="3"/>
        <v>Y</v>
      </c>
    </row>
    <row r="28" spans="1:26" x14ac:dyDescent="0.25">
      <c r="A28">
        <v>27</v>
      </c>
      <c r="B28" s="2" t="s">
        <v>35</v>
      </c>
      <c r="C28">
        <v>143</v>
      </c>
      <c r="D28">
        <v>145</v>
      </c>
      <c r="E28">
        <v>126</v>
      </c>
      <c r="F28">
        <v>109</v>
      </c>
      <c r="G28">
        <v>159</v>
      </c>
      <c r="H28">
        <v>98</v>
      </c>
      <c r="I28">
        <v>96</v>
      </c>
      <c r="J28">
        <v>114</v>
      </c>
      <c r="L28" s="8">
        <f>_xlfn.STDEV.P(C28:J28)/AVERAGE(C28:J28)</f>
        <v>0.17647594975160366</v>
      </c>
      <c r="P28" t="str">
        <f>IF(L28&lt;10%,"X",IF(L28&lt;25%,"Y","Z"))</f>
        <v>Y</v>
      </c>
      <c r="Q28">
        <f>SUM(C28:J28)</f>
        <v>990</v>
      </c>
      <c r="R28" s="9">
        <f t="shared" si="0"/>
        <v>1.1714978132040821E-3</v>
      </c>
      <c r="S28" s="9">
        <f>SUM($R$3:R28)</f>
        <v>0.98822940530511028</v>
      </c>
      <c r="T28" t="str">
        <f t="shared" si="1"/>
        <v>C</v>
      </c>
      <c r="U28" s="9">
        <f t="shared" si="2"/>
        <v>0.17647594975160366</v>
      </c>
      <c r="V28" t="str">
        <f t="shared" si="3"/>
        <v>Y</v>
      </c>
    </row>
    <row r="29" spans="1:26" x14ac:dyDescent="0.25">
      <c r="A29">
        <v>28</v>
      </c>
      <c r="B29" s="2" t="s">
        <v>36</v>
      </c>
      <c r="C29">
        <v>117</v>
      </c>
      <c r="D29">
        <v>109</v>
      </c>
      <c r="E29">
        <v>133</v>
      </c>
      <c r="F29">
        <v>133</v>
      </c>
      <c r="G29">
        <v>124</v>
      </c>
      <c r="H29">
        <v>122</v>
      </c>
      <c r="I29">
        <v>115</v>
      </c>
      <c r="J29">
        <v>124</v>
      </c>
      <c r="L29" s="8">
        <f>_xlfn.STDEV.P(C29:J29)/AVERAGE(C29:J29)</f>
        <v>6.4271557569865301E-2</v>
      </c>
      <c r="P29" t="str">
        <f>IF(L29&lt;10%,"X",IF(L29&lt;25%,"Y","Z"))</f>
        <v>X</v>
      </c>
      <c r="Q29">
        <f>SUM(C29:J29)</f>
        <v>977</v>
      </c>
      <c r="R29" s="9">
        <f t="shared" si="0"/>
        <v>1.1561145085862506E-3</v>
      </c>
      <c r="S29" s="9">
        <f>SUM($R$3:R29)</f>
        <v>0.98938551981369649</v>
      </c>
      <c r="T29" t="str">
        <f t="shared" si="1"/>
        <v>C</v>
      </c>
      <c r="U29" s="9">
        <f t="shared" si="2"/>
        <v>6.4271557569865301E-2</v>
      </c>
      <c r="V29" t="str">
        <f t="shared" si="3"/>
        <v>X</v>
      </c>
    </row>
    <row r="30" spans="1:26" x14ac:dyDescent="0.25">
      <c r="A30">
        <v>29</v>
      </c>
      <c r="B30" s="2" t="s">
        <v>37</v>
      </c>
      <c r="C30">
        <v>112</v>
      </c>
      <c r="D30">
        <v>114</v>
      </c>
      <c r="E30">
        <v>134</v>
      </c>
      <c r="F30">
        <v>129</v>
      </c>
      <c r="G30">
        <v>101</v>
      </c>
      <c r="H30">
        <v>107</v>
      </c>
      <c r="I30">
        <v>83</v>
      </c>
      <c r="J30">
        <v>92</v>
      </c>
      <c r="L30" s="8">
        <f>_xlfn.STDEV.P(C30:J30)/AVERAGE(C30:J30)</f>
        <v>0.1483574461357452</v>
      </c>
      <c r="P30" t="str">
        <f>IF(L30&lt;10%,"X",IF(L30&lt;25%,"Y","Z"))</f>
        <v>Y</v>
      </c>
      <c r="Q30">
        <f>SUM(C30:J30)</f>
        <v>872</v>
      </c>
      <c r="R30" s="9">
        <f t="shared" si="0"/>
        <v>1.0318647405191509E-3</v>
      </c>
      <c r="S30" s="9">
        <f>SUM($R$3:R30)</f>
        <v>0.99041738455421569</v>
      </c>
      <c r="T30" t="str">
        <f t="shared" si="1"/>
        <v>C</v>
      </c>
      <c r="U30" s="9">
        <f t="shared" si="2"/>
        <v>0.1483574461357452</v>
      </c>
      <c r="V30" t="str">
        <f t="shared" si="3"/>
        <v>Y</v>
      </c>
    </row>
    <row r="31" spans="1:26" x14ac:dyDescent="0.25">
      <c r="A31">
        <v>30</v>
      </c>
      <c r="B31" s="2" t="s">
        <v>38</v>
      </c>
      <c r="C31">
        <v>90</v>
      </c>
      <c r="D31">
        <v>75</v>
      </c>
      <c r="E31">
        <v>107</v>
      </c>
      <c r="F31">
        <v>115</v>
      </c>
      <c r="G31">
        <v>95</v>
      </c>
      <c r="H31">
        <v>98</v>
      </c>
      <c r="I31">
        <v>72</v>
      </c>
      <c r="J31">
        <v>69</v>
      </c>
      <c r="L31" s="8">
        <f>_xlfn.STDEV.P(C31:J31)/AVERAGE(C31:J31)</f>
        <v>0.17512564923225632</v>
      </c>
      <c r="P31" t="str">
        <f>IF(L31&lt;10%,"X",IF(L31&lt;25%,"Y","Z"))</f>
        <v>Y</v>
      </c>
      <c r="Q31">
        <f>SUM(C31:J31)</f>
        <v>721</v>
      </c>
      <c r="R31" s="9">
        <f t="shared" si="0"/>
        <v>8.5318174072741729E-4</v>
      </c>
      <c r="S31" s="9">
        <f>SUM($R$3:R31)</f>
        <v>0.99127056629494315</v>
      </c>
      <c r="T31" t="str">
        <f t="shared" si="1"/>
        <v>C</v>
      </c>
      <c r="U31" s="9">
        <f t="shared" si="2"/>
        <v>0.17512564923225632</v>
      </c>
      <c r="V31" t="str">
        <f t="shared" si="3"/>
        <v>Y</v>
      </c>
    </row>
    <row r="32" spans="1:26" x14ac:dyDescent="0.25">
      <c r="A32">
        <v>31</v>
      </c>
      <c r="B32" s="2" t="s">
        <v>39</v>
      </c>
      <c r="C32">
        <v>86</v>
      </c>
      <c r="D32">
        <v>47</v>
      </c>
      <c r="E32">
        <v>36</v>
      </c>
      <c r="F32">
        <v>17</v>
      </c>
      <c r="G32">
        <v>78</v>
      </c>
      <c r="H32">
        <v>122</v>
      </c>
      <c r="I32">
        <v>96</v>
      </c>
      <c r="J32">
        <v>89</v>
      </c>
      <c r="L32" s="8">
        <f>_xlfn.STDEV.P(C32:J32)/AVERAGE(C32:J32)</f>
        <v>0.45775662893082036</v>
      </c>
      <c r="O32" s="6">
        <f>_xlfn.STDEV.P(C30:E30)</f>
        <v>9.9331096171675597</v>
      </c>
      <c r="P32" t="str">
        <f>IF(L32&lt;10%,"X",IF(L32&lt;25%,"Y","Z"))</f>
        <v>Z</v>
      </c>
      <c r="Q32">
        <f>SUM(C32:J32)</f>
        <v>571</v>
      </c>
      <c r="R32" s="9">
        <f t="shared" si="0"/>
        <v>6.7568207206013221E-4</v>
      </c>
      <c r="S32" s="9">
        <f>SUM($R$3:R32)</f>
        <v>0.99194624836700329</v>
      </c>
      <c r="T32" t="str">
        <f t="shared" si="1"/>
        <v>C</v>
      </c>
      <c r="U32" s="9">
        <f t="shared" si="2"/>
        <v>0.45775662893082036</v>
      </c>
      <c r="V32" t="str">
        <f t="shared" si="3"/>
        <v>Z</v>
      </c>
    </row>
    <row r="33" spans="1:22" x14ac:dyDescent="0.25">
      <c r="A33">
        <v>32</v>
      </c>
      <c r="B33" t="s">
        <v>40</v>
      </c>
      <c r="C33">
        <v>85</v>
      </c>
      <c r="D33">
        <v>51</v>
      </c>
      <c r="E33">
        <v>32</v>
      </c>
      <c r="F33">
        <v>28</v>
      </c>
      <c r="G33">
        <v>48</v>
      </c>
      <c r="H33">
        <v>84</v>
      </c>
      <c r="I33">
        <v>86</v>
      </c>
      <c r="J33">
        <v>77</v>
      </c>
      <c r="L33" s="8">
        <f>_xlfn.STDEV.P(C33:J33)/AVERAGE(C33:J33)</f>
        <v>0.3726085805740772</v>
      </c>
      <c r="P33" t="str">
        <f>IF(L33&lt;10%,"X",IF(L33&lt;25%,"Y","Z"))</f>
        <v>Z</v>
      </c>
      <c r="Q33">
        <f>SUM(C33:J33)</f>
        <v>491</v>
      </c>
      <c r="R33" s="9">
        <f t="shared" si="0"/>
        <v>5.8101558210424669E-4</v>
      </c>
      <c r="S33" s="9">
        <f>SUM($R$3:R33)</f>
        <v>0.99252726394910751</v>
      </c>
      <c r="T33" t="str">
        <f t="shared" si="1"/>
        <v>C</v>
      </c>
      <c r="U33" s="9">
        <f t="shared" si="2"/>
        <v>0.3726085805740772</v>
      </c>
      <c r="V33" t="str">
        <f t="shared" si="3"/>
        <v>Z</v>
      </c>
    </row>
    <row r="34" spans="1:22" x14ac:dyDescent="0.25">
      <c r="A34">
        <v>33</v>
      </c>
      <c r="B34" s="2" t="s">
        <v>41</v>
      </c>
      <c r="C34">
        <v>81</v>
      </c>
      <c r="D34">
        <v>81</v>
      </c>
      <c r="E34">
        <v>85</v>
      </c>
      <c r="F34">
        <v>71</v>
      </c>
      <c r="G34">
        <v>61</v>
      </c>
      <c r="H34">
        <v>53</v>
      </c>
      <c r="I34">
        <v>65</v>
      </c>
      <c r="J34">
        <v>51</v>
      </c>
      <c r="L34" s="8">
        <f>_xlfn.STDEV.P(C34:J34)/AVERAGE(C34:J34)</f>
        <v>0.17924130157384927</v>
      </c>
      <c r="P34" t="str">
        <f>IF(L34&lt;10%,"X",IF(L34&lt;25%,"Y","Z"))</f>
        <v>Y</v>
      </c>
      <c r="Q34">
        <f>SUM(C34:J34)</f>
        <v>548</v>
      </c>
      <c r="R34" s="9">
        <f t="shared" si="0"/>
        <v>6.4846545619781507E-4</v>
      </c>
      <c r="S34" s="9">
        <f>SUM($R$3:R34)</f>
        <v>0.9931757294053053</v>
      </c>
      <c r="T34" t="str">
        <f t="shared" si="1"/>
        <v>C</v>
      </c>
      <c r="U34" s="9">
        <f t="shared" si="2"/>
        <v>0.17924130157384927</v>
      </c>
      <c r="V34" t="str">
        <f t="shared" si="3"/>
        <v>Y</v>
      </c>
    </row>
    <row r="35" spans="1:22" x14ac:dyDescent="0.25">
      <c r="A35">
        <v>34</v>
      </c>
      <c r="B35" s="2" t="s">
        <v>42</v>
      </c>
      <c r="C35">
        <v>80</v>
      </c>
      <c r="D35">
        <v>96</v>
      </c>
      <c r="E35">
        <v>106</v>
      </c>
      <c r="F35">
        <v>82</v>
      </c>
      <c r="G35">
        <v>64</v>
      </c>
      <c r="H35">
        <v>65</v>
      </c>
      <c r="I35">
        <v>51</v>
      </c>
      <c r="J35">
        <v>66</v>
      </c>
      <c r="L35" s="8">
        <f>_xlfn.STDEV.P(C35:J35)/AVERAGE(C35:J35)</f>
        <v>0.22436868342197541</v>
      </c>
      <c r="O35" s="6">
        <f>STDEV(C34:E34)</f>
        <v>2.3094010767585034</v>
      </c>
      <c r="P35" t="str">
        <f>IF(L35&lt;10%,"X",IF(L35&lt;25%,"Y","Z"))</f>
        <v>Y</v>
      </c>
      <c r="Q35">
        <f>SUM(C35:J35)</f>
        <v>610</v>
      </c>
      <c r="R35" s="9">
        <f t="shared" si="0"/>
        <v>7.2183198591362627E-4</v>
      </c>
      <c r="S35" s="9">
        <f>SUM($R$3:R35)</f>
        <v>0.99389756139121888</v>
      </c>
      <c r="T35" t="str">
        <f t="shared" si="1"/>
        <v>C</v>
      </c>
      <c r="U35" s="9">
        <f t="shared" si="2"/>
        <v>0.22436868342197541</v>
      </c>
      <c r="V35" t="str">
        <f t="shared" si="3"/>
        <v>Y</v>
      </c>
    </row>
    <row r="36" spans="1:22" x14ac:dyDescent="0.25">
      <c r="A36">
        <v>35</v>
      </c>
      <c r="B36" s="2" t="s">
        <v>43</v>
      </c>
      <c r="C36">
        <v>80</v>
      </c>
      <c r="D36">
        <v>66</v>
      </c>
      <c r="E36">
        <v>62</v>
      </c>
      <c r="F36">
        <v>66</v>
      </c>
      <c r="G36">
        <v>51</v>
      </c>
      <c r="H36">
        <v>45</v>
      </c>
      <c r="I36">
        <v>50</v>
      </c>
      <c r="J36">
        <v>33</v>
      </c>
      <c r="L36" s="8">
        <f>_xlfn.STDEV.P(C36:J36)/AVERAGE(C36:J36)</f>
        <v>0.24341689999323318</v>
      </c>
      <c r="P36" t="str">
        <f>IF(L36&lt;10%,"X",IF(L36&lt;25%,"Y","Z"))</f>
        <v>Y</v>
      </c>
      <c r="Q36">
        <f>SUM(C36:J36)</f>
        <v>453</v>
      </c>
      <c r="R36" s="9">
        <f t="shared" si="0"/>
        <v>5.3604899937520121E-4</v>
      </c>
      <c r="S36" s="9">
        <f>SUM($R$3:R36)</f>
        <v>0.99443361039059408</v>
      </c>
      <c r="T36" t="str">
        <f t="shared" si="1"/>
        <v>C</v>
      </c>
      <c r="U36" s="9">
        <f t="shared" si="2"/>
        <v>0.24341689999323318</v>
      </c>
      <c r="V36" t="str">
        <f t="shared" si="3"/>
        <v>Y</v>
      </c>
    </row>
    <row r="37" spans="1:22" x14ac:dyDescent="0.25">
      <c r="A37">
        <v>36</v>
      </c>
      <c r="B37" s="2" t="s">
        <v>44</v>
      </c>
      <c r="C37">
        <v>72</v>
      </c>
      <c r="D37">
        <v>70</v>
      </c>
      <c r="E37">
        <v>64</v>
      </c>
      <c r="F37">
        <v>81</v>
      </c>
      <c r="G37">
        <v>63</v>
      </c>
      <c r="H37">
        <v>60</v>
      </c>
      <c r="I37">
        <v>58</v>
      </c>
      <c r="J37">
        <v>62</v>
      </c>
      <c r="L37" s="8">
        <f>_xlfn.STDEV.P(C37:J37)/AVERAGE(C37:J37)</f>
        <v>0.10746438389357088</v>
      </c>
      <c r="P37" t="str">
        <f>IF(L37&lt;10%,"X",IF(L37&lt;25%,"Y","Z"))</f>
        <v>Y</v>
      </c>
      <c r="Q37">
        <f>SUM(C37:J37)</f>
        <v>530</v>
      </c>
      <c r="R37" s="9">
        <f t="shared" si="0"/>
        <v>6.2716549595774086E-4</v>
      </c>
      <c r="S37" s="9">
        <f>SUM($R$3:R37)</f>
        <v>0.99506077588655184</v>
      </c>
      <c r="T37" t="str">
        <f t="shared" si="1"/>
        <v>C</v>
      </c>
      <c r="U37" s="9">
        <f t="shared" si="2"/>
        <v>0.10746438389357088</v>
      </c>
      <c r="V37" t="str">
        <f t="shared" si="3"/>
        <v>Y</v>
      </c>
    </row>
    <row r="38" spans="1:22" x14ac:dyDescent="0.25">
      <c r="A38">
        <v>37</v>
      </c>
      <c r="B38" s="2" t="s">
        <v>45</v>
      </c>
      <c r="C38">
        <v>67</v>
      </c>
      <c r="D38">
        <v>54</v>
      </c>
      <c r="E38">
        <v>65</v>
      </c>
      <c r="F38">
        <v>53</v>
      </c>
      <c r="G38">
        <v>43</v>
      </c>
      <c r="H38">
        <v>47</v>
      </c>
      <c r="I38">
        <v>53</v>
      </c>
      <c r="J38">
        <v>57</v>
      </c>
      <c r="L38" s="8">
        <f>_xlfn.STDEV.P(C38:J38)/AVERAGE(C38:J38)</f>
        <v>0.13891481629603031</v>
      </c>
      <c r="P38" t="str">
        <f>IF(L38&lt;10%,"X",IF(L38&lt;25%,"Y","Z"))</f>
        <v>Y</v>
      </c>
      <c r="Q38">
        <f>SUM(C38:J38)</f>
        <v>439</v>
      </c>
      <c r="R38" s="9">
        <f t="shared" si="0"/>
        <v>5.1948236363292123E-4</v>
      </c>
      <c r="S38" s="9">
        <f>SUM($R$3:R38)</f>
        <v>0.99558025825018481</v>
      </c>
      <c r="T38" t="str">
        <f t="shared" si="1"/>
        <v>C</v>
      </c>
      <c r="U38" s="9">
        <f t="shared" si="2"/>
        <v>0.13891481629603031</v>
      </c>
      <c r="V38" t="str">
        <f t="shared" si="3"/>
        <v>Y</v>
      </c>
    </row>
    <row r="39" spans="1:22" x14ac:dyDescent="0.25">
      <c r="A39">
        <v>38</v>
      </c>
      <c r="B39" s="2" t="s">
        <v>46</v>
      </c>
      <c r="C39">
        <v>59</v>
      </c>
      <c r="D39">
        <v>57</v>
      </c>
      <c r="E39">
        <v>85</v>
      </c>
      <c r="F39">
        <v>77</v>
      </c>
      <c r="G39">
        <v>81</v>
      </c>
      <c r="H39">
        <v>73</v>
      </c>
      <c r="I39">
        <v>55</v>
      </c>
      <c r="J39">
        <v>72</v>
      </c>
      <c r="K39">
        <f>SUM(C39:J39)</f>
        <v>559</v>
      </c>
      <c r="L39" s="8">
        <f>_xlfn.STDEV.P(C39:J39)/AVERAGE(C39:J39)</f>
        <v>0.15371088615911577</v>
      </c>
      <c r="M39" s="5">
        <f>AVERAGE(C39:E39)</f>
        <v>67</v>
      </c>
      <c r="P39" t="str">
        <f>IF(L39&lt;10%,"X",IF(L39&lt;25%,"Y","Z"))</f>
        <v>Y</v>
      </c>
      <c r="Q39">
        <f>SUM(C39:J39)</f>
        <v>559</v>
      </c>
      <c r="R39" s="9">
        <f t="shared" si="0"/>
        <v>6.6148209856674929E-4</v>
      </c>
      <c r="S39" s="9">
        <f>SUM($R$3:R39)</f>
        <v>0.99624174034875157</v>
      </c>
      <c r="T39" t="str">
        <f t="shared" si="1"/>
        <v>C</v>
      </c>
      <c r="U39" s="9">
        <f t="shared" si="2"/>
        <v>0.15371088615911577</v>
      </c>
      <c r="V39" t="str">
        <f t="shared" si="3"/>
        <v>Y</v>
      </c>
    </row>
    <row r="40" spans="1:22" x14ac:dyDescent="0.25">
      <c r="A40">
        <v>39</v>
      </c>
      <c r="B40" s="2" t="s">
        <v>47</v>
      </c>
      <c r="C40">
        <v>52</v>
      </c>
      <c r="D40">
        <v>58</v>
      </c>
      <c r="E40">
        <v>49</v>
      </c>
      <c r="F40">
        <v>62</v>
      </c>
      <c r="G40">
        <v>46</v>
      </c>
      <c r="H40">
        <v>38</v>
      </c>
      <c r="I40">
        <v>46</v>
      </c>
      <c r="J40">
        <v>50</v>
      </c>
      <c r="L40" s="8">
        <f>_xlfn.STDEV.P(C40:J40)/AVERAGE(C40:J40)</f>
        <v>0.13909311488662685</v>
      </c>
      <c r="P40" t="str">
        <f>IF(L40&lt;10%,"X",IF(L40&lt;25%,"Y","Z"))</f>
        <v>Y</v>
      </c>
      <c r="Q40">
        <f>SUM(C40:J40)</f>
        <v>401</v>
      </c>
      <c r="R40" s="9">
        <f t="shared" si="0"/>
        <v>4.7451578090387564E-4</v>
      </c>
      <c r="S40" s="9">
        <f>SUM($R$3:R40)</f>
        <v>0.99671625612965542</v>
      </c>
      <c r="T40" t="str">
        <f t="shared" si="1"/>
        <v>C</v>
      </c>
      <c r="U40" s="9">
        <f t="shared" si="2"/>
        <v>0.13909311488662685</v>
      </c>
      <c r="V40" t="str">
        <f t="shared" si="3"/>
        <v>Y</v>
      </c>
    </row>
    <row r="41" spans="1:22" x14ac:dyDescent="0.25">
      <c r="A41">
        <v>40</v>
      </c>
      <c r="B41" s="2" t="s">
        <v>48</v>
      </c>
      <c r="C41">
        <v>36</v>
      </c>
      <c r="D41">
        <v>41</v>
      </c>
      <c r="E41">
        <v>39</v>
      </c>
      <c r="F41">
        <v>20</v>
      </c>
      <c r="G41">
        <v>28</v>
      </c>
      <c r="H41">
        <v>55</v>
      </c>
      <c r="I41">
        <v>40</v>
      </c>
      <c r="J41">
        <v>43</v>
      </c>
      <c r="L41" s="8">
        <f>_xlfn.STDEV.P(C41:J41)/AVERAGE(C41:J41)</f>
        <v>0.25742770497452727</v>
      </c>
      <c r="M41" s="6">
        <f>SQRT(((C40-Xsr)^2+(D40-Xsr)^2+(E40-Xsr)^2)/3)</f>
        <v>53.131911315140925</v>
      </c>
      <c r="P41" t="str">
        <f>IF(L41&lt;10%,"X",IF(L41&lt;25%,"Y","Z"))</f>
        <v>Z</v>
      </c>
      <c r="Q41">
        <f>SUM(C41:J41)</f>
        <v>302</v>
      </c>
      <c r="R41" s="9">
        <f t="shared" si="0"/>
        <v>3.5736599958346744E-4</v>
      </c>
      <c r="S41" s="9">
        <f>SUM($R$3:R41)</f>
        <v>0.99707362212923889</v>
      </c>
      <c r="T41" t="str">
        <f t="shared" si="1"/>
        <v>C</v>
      </c>
      <c r="U41" s="9">
        <f t="shared" si="2"/>
        <v>0.25742770497452727</v>
      </c>
      <c r="V41" t="str">
        <f t="shared" si="3"/>
        <v>Z</v>
      </c>
    </row>
    <row r="42" spans="1:22" x14ac:dyDescent="0.25">
      <c r="A42">
        <v>41</v>
      </c>
      <c r="B42" s="2" t="s">
        <v>49</v>
      </c>
      <c r="C42">
        <v>33</v>
      </c>
      <c r="D42">
        <v>31</v>
      </c>
      <c r="E42">
        <v>34</v>
      </c>
      <c r="F42">
        <v>12</v>
      </c>
      <c r="G42">
        <v>34</v>
      </c>
      <c r="H42">
        <v>23</v>
      </c>
      <c r="I42">
        <v>21</v>
      </c>
      <c r="J42">
        <v>28</v>
      </c>
      <c r="L42" s="8">
        <f>_xlfn.STDEV.P(C42:J42)/AVERAGE(C42:J42)</f>
        <v>0.27090257108014432</v>
      </c>
      <c r="M42">
        <f>Xsr</f>
        <v>0</v>
      </c>
      <c r="P42" t="str">
        <f>IF(L42&lt;10%,"X",IF(L42&lt;25%,"Y","Z"))</f>
        <v>Z</v>
      </c>
      <c r="Q42">
        <f>SUM(C42:J42)</f>
        <v>216</v>
      </c>
      <c r="R42" s="9">
        <f t="shared" si="0"/>
        <v>2.5559952288089062E-4</v>
      </c>
      <c r="S42" s="9">
        <f>SUM($R$3:R42)</f>
        <v>0.99732922165211979</v>
      </c>
      <c r="T42" t="str">
        <f t="shared" si="1"/>
        <v>C</v>
      </c>
      <c r="U42" s="9">
        <f t="shared" si="2"/>
        <v>0.27090257108014432</v>
      </c>
      <c r="V42" t="str">
        <f t="shared" si="3"/>
        <v>Z</v>
      </c>
    </row>
    <row r="43" spans="1:22" x14ac:dyDescent="0.25">
      <c r="A43">
        <v>42</v>
      </c>
      <c r="B43" s="2" t="s">
        <v>50</v>
      </c>
      <c r="C43">
        <v>25</v>
      </c>
      <c r="D43">
        <v>40</v>
      </c>
      <c r="E43">
        <v>46</v>
      </c>
      <c r="F43">
        <v>25</v>
      </c>
      <c r="G43">
        <v>26</v>
      </c>
      <c r="H43">
        <v>23</v>
      </c>
      <c r="I43">
        <v>17</v>
      </c>
      <c r="J43">
        <v>26</v>
      </c>
      <c r="L43" s="8">
        <f>_xlfn.STDEV.P(C43:J43)/AVERAGE(C43:J43)</f>
        <v>0.31334335262266227</v>
      </c>
      <c r="P43" t="str">
        <f>IF(L43&lt;10%,"X",IF(L43&lt;25%,"Y","Z"))</f>
        <v>Z</v>
      </c>
      <c r="Q43">
        <f>SUM(C43:J43)</f>
        <v>228</v>
      </c>
      <c r="R43" s="9">
        <f t="shared" si="0"/>
        <v>2.6979949637427343E-4</v>
      </c>
      <c r="S43" s="9">
        <f>SUM($R$3:R43)</f>
        <v>0.99759902114849408</v>
      </c>
      <c r="T43" t="str">
        <f t="shared" si="1"/>
        <v>C</v>
      </c>
      <c r="U43" s="9">
        <f t="shared" si="2"/>
        <v>0.31334335262266227</v>
      </c>
      <c r="V43" t="str">
        <f t="shared" si="3"/>
        <v>Z</v>
      </c>
    </row>
    <row r="44" spans="1:22" x14ac:dyDescent="0.25">
      <c r="A44">
        <v>43</v>
      </c>
      <c r="B44" s="2" t="s">
        <v>51</v>
      </c>
      <c r="C44">
        <v>25</v>
      </c>
      <c r="D44">
        <v>34</v>
      </c>
      <c r="E44">
        <v>36</v>
      </c>
      <c r="F44">
        <v>32</v>
      </c>
      <c r="G44">
        <v>19</v>
      </c>
      <c r="H44">
        <v>27</v>
      </c>
      <c r="I44">
        <v>16</v>
      </c>
      <c r="J44">
        <v>20</v>
      </c>
      <c r="L44" s="8">
        <f>_xlfn.STDEV.P(C44:J44)/AVERAGE(C44:J44)</f>
        <v>0.26618528317131335</v>
      </c>
      <c r="P44" t="str">
        <f>IF(L44&lt;10%,"X",IF(L44&lt;25%,"Y","Z"))</f>
        <v>Z</v>
      </c>
      <c r="Q44">
        <f>SUM(C44:J44)</f>
        <v>209</v>
      </c>
      <c r="R44" s="9">
        <f t="shared" si="0"/>
        <v>2.4731620500975063E-4</v>
      </c>
      <c r="S44" s="9">
        <f>SUM($R$3:R44)</f>
        <v>0.99784633735350381</v>
      </c>
      <c r="T44" t="str">
        <f t="shared" si="1"/>
        <v>C</v>
      </c>
      <c r="U44" s="9">
        <f t="shared" si="2"/>
        <v>0.26618528317131335</v>
      </c>
      <c r="V44" t="str">
        <f t="shared" si="3"/>
        <v>Z</v>
      </c>
    </row>
    <row r="45" spans="1:22" x14ac:dyDescent="0.25">
      <c r="A45">
        <v>44</v>
      </c>
      <c r="B45" s="2" t="s">
        <v>52</v>
      </c>
      <c r="C45">
        <v>22</v>
      </c>
      <c r="D45">
        <v>20</v>
      </c>
      <c r="E45">
        <v>29</v>
      </c>
      <c r="F45">
        <v>28</v>
      </c>
      <c r="G45">
        <v>22</v>
      </c>
      <c r="H45">
        <v>26</v>
      </c>
      <c r="I45">
        <v>22</v>
      </c>
      <c r="J45">
        <v>31</v>
      </c>
      <c r="L45" s="8">
        <f>_xlfn.STDEV.P(C45:J45)/AVERAGE(C45:J45)</f>
        <v>0.15099668870541499</v>
      </c>
      <c r="P45" t="str">
        <f>IF(L45&lt;10%,"X",IF(L45&lt;25%,"Y","Z"))</f>
        <v>Y</v>
      </c>
      <c r="Q45">
        <f>SUM(C45:J45)</f>
        <v>200</v>
      </c>
      <c r="R45" s="9">
        <f t="shared" si="0"/>
        <v>2.3666622488971353E-4</v>
      </c>
      <c r="S45" s="9">
        <f>SUM($R$3:R45)</f>
        <v>0.99808300357839352</v>
      </c>
      <c r="T45" t="str">
        <f t="shared" si="1"/>
        <v>C</v>
      </c>
      <c r="U45" s="9">
        <f t="shared" si="2"/>
        <v>0.15099668870541499</v>
      </c>
      <c r="V45" t="str">
        <f t="shared" si="3"/>
        <v>Y</v>
      </c>
    </row>
    <row r="46" spans="1:22" x14ac:dyDescent="0.25">
      <c r="A46">
        <v>45</v>
      </c>
      <c r="B46" s="2" t="s">
        <v>53</v>
      </c>
      <c r="C46">
        <v>20</v>
      </c>
      <c r="D46">
        <v>28</v>
      </c>
      <c r="E46">
        <v>40</v>
      </c>
      <c r="F46">
        <v>23</v>
      </c>
      <c r="G46">
        <v>21</v>
      </c>
      <c r="H46">
        <v>30</v>
      </c>
      <c r="I46">
        <v>21</v>
      </c>
      <c r="J46">
        <v>32</v>
      </c>
      <c r="L46" s="8">
        <f>_xlfn.STDEV.P(C46:J46)/AVERAGE(C46:J46)</f>
        <v>0.24288690956552386</v>
      </c>
      <c r="P46" t="str">
        <f>IF(L46&lt;10%,"X",IF(L46&lt;25%,"Y","Z"))</f>
        <v>Y</v>
      </c>
      <c r="Q46">
        <f>SUM(C46:J46)</f>
        <v>215</v>
      </c>
      <c r="R46" s="9">
        <f t="shared" si="0"/>
        <v>2.5441619175644204E-4</v>
      </c>
      <c r="S46" s="9">
        <f>SUM($R$3:R46)</f>
        <v>0.99833741977015</v>
      </c>
      <c r="T46" t="str">
        <f t="shared" si="1"/>
        <v>C</v>
      </c>
      <c r="U46" s="9">
        <f t="shared" si="2"/>
        <v>0.24288690956552386</v>
      </c>
      <c r="V46" t="str">
        <f t="shared" si="3"/>
        <v>Y</v>
      </c>
    </row>
    <row r="47" spans="1:22" x14ac:dyDescent="0.25">
      <c r="A47">
        <v>46</v>
      </c>
      <c r="B47" s="2" t="s">
        <v>54</v>
      </c>
      <c r="C47">
        <v>17</v>
      </c>
      <c r="D47">
        <v>20</v>
      </c>
      <c r="E47">
        <v>23</v>
      </c>
      <c r="F47">
        <v>12</v>
      </c>
      <c r="G47">
        <v>13</v>
      </c>
      <c r="H47">
        <v>18</v>
      </c>
      <c r="I47">
        <v>11</v>
      </c>
      <c r="J47">
        <v>17</v>
      </c>
      <c r="L47" s="8">
        <f>_xlfn.STDEV.P(C47:J47)/AVERAGE(C47:J47)</f>
        <v>0.23639484835422936</v>
      </c>
      <c r="P47" t="str">
        <f>IF(L47&lt;10%,"X",IF(L47&lt;25%,"Y","Z"))</f>
        <v>Y</v>
      </c>
      <c r="Q47">
        <f>SUM(C47:J47)</f>
        <v>131</v>
      </c>
      <c r="R47" s="9">
        <f t="shared" si="0"/>
        <v>1.5501637730276236E-4</v>
      </c>
      <c r="S47" s="9">
        <f>SUM($R$3:R47)</f>
        <v>0.99849243614745276</v>
      </c>
      <c r="T47" t="str">
        <f t="shared" si="1"/>
        <v>C</v>
      </c>
      <c r="U47" s="9">
        <f t="shared" si="2"/>
        <v>0.23639484835422936</v>
      </c>
      <c r="V47" t="str">
        <f t="shared" si="3"/>
        <v>Y</v>
      </c>
    </row>
    <row r="48" spans="1:22" x14ac:dyDescent="0.25">
      <c r="A48">
        <v>47</v>
      </c>
      <c r="B48" s="2" t="s">
        <v>55</v>
      </c>
      <c r="C48">
        <v>16</v>
      </c>
      <c r="D48">
        <v>25</v>
      </c>
      <c r="E48">
        <v>31</v>
      </c>
      <c r="F48">
        <v>12</v>
      </c>
      <c r="G48">
        <v>8</v>
      </c>
      <c r="H48">
        <v>19</v>
      </c>
      <c r="I48">
        <v>10</v>
      </c>
      <c r="J48">
        <v>13</v>
      </c>
      <c r="L48" s="8">
        <f>_xlfn.STDEV.P(C48:J48)/AVERAGE(C48:J48)</f>
        <v>0.44048819592160321</v>
      </c>
      <c r="P48" t="str">
        <f>IF(L48&lt;10%,"X",IF(L48&lt;25%,"Y","Z"))</f>
        <v>Z</v>
      </c>
      <c r="Q48">
        <f>SUM(C48:J48)</f>
        <v>134</v>
      </c>
      <c r="R48" s="9">
        <f t="shared" si="0"/>
        <v>1.5856637067610807E-4</v>
      </c>
      <c r="S48" s="9">
        <f>SUM($R$3:R48)</f>
        <v>0.99865100251812888</v>
      </c>
      <c r="T48" t="str">
        <f t="shared" si="1"/>
        <v>C</v>
      </c>
      <c r="U48" s="9">
        <f t="shared" si="2"/>
        <v>0.44048819592160321</v>
      </c>
      <c r="V48" t="str">
        <f t="shared" si="3"/>
        <v>Z</v>
      </c>
    </row>
    <row r="49" spans="1:22" x14ac:dyDescent="0.25">
      <c r="A49">
        <v>48</v>
      </c>
      <c r="B49" s="2" t="s">
        <v>56</v>
      </c>
      <c r="C49">
        <v>0</v>
      </c>
      <c r="D49">
        <v>0</v>
      </c>
      <c r="E49">
        <v>0</v>
      </c>
      <c r="F49">
        <v>0</v>
      </c>
      <c r="G49">
        <v>121</v>
      </c>
      <c r="H49">
        <v>214</v>
      </c>
      <c r="I49">
        <v>196</v>
      </c>
      <c r="J49">
        <v>171</v>
      </c>
      <c r="L49" s="8">
        <f>_xlfn.STDEV.P(C49:J49)/AVERAGE(C49:J49)</f>
        <v>1.0389567716937349</v>
      </c>
      <c r="P49" t="str">
        <f>IF(L49&lt;10%,"X",IF(L49&lt;25%,"Y","Z"))</f>
        <v>Z</v>
      </c>
      <c r="Q49">
        <f>SUM(C49:J49)</f>
        <v>702</v>
      </c>
      <c r="R49" s="9">
        <f t="shared" si="0"/>
        <v>8.3069844936289449E-4</v>
      </c>
      <c r="S49" s="9">
        <f>SUM($R$3:R49)</f>
        <v>0.99948170096749178</v>
      </c>
      <c r="T49" t="str">
        <f t="shared" si="1"/>
        <v>C</v>
      </c>
      <c r="U49" s="9">
        <f t="shared" si="2"/>
        <v>1.0389567716937349</v>
      </c>
      <c r="V49" t="str">
        <f t="shared" si="3"/>
        <v>Z</v>
      </c>
    </row>
    <row r="50" spans="1:22" x14ac:dyDescent="0.25">
      <c r="A50">
        <v>49</v>
      </c>
      <c r="B50" s="2" t="s">
        <v>57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29</v>
      </c>
      <c r="J50">
        <v>15</v>
      </c>
      <c r="L50" s="8">
        <f>_xlfn.STDEV.P(C50:J50)/AVERAGE(C50:J50)</f>
        <v>1.8452530118349488</v>
      </c>
      <c r="P50" t="str">
        <f>IF(L50&lt;10%,"X",IF(L50&lt;25%,"Y","Z"))</f>
        <v>Z</v>
      </c>
      <c r="Q50">
        <f>SUM(C50:J50)</f>
        <v>44</v>
      </c>
      <c r="R50" s="9">
        <f t="shared" si="0"/>
        <v>5.2066569475736979E-5</v>
      </c>
      <c r="S50" s="9">
        <f>SUM($R$3:R50)</f>
        <v>0.99953376753696754</v>
      </c>
      <c r="T50" t="str">
        <f t="shared" si="1"/>
        <v>C</v>
      </c>
      <c r="U50" s="9">
        <f t="shared" si="2"/>
        <v>1.8452530118349488</v>
      </c>
      <c r="V50" t="str">
        <f t="shared" si="3"/>
        <v>Z</v>
      </c>
    </row>
    <row r="51" spans="1:22" x14ac:dyDescent="0.25">
      <c r="A51">
        <v>50</v>
      </c>
      <c r="B51" s="2" t="s">
        <v>58</v>
      </c>
      <c r="C51">
        <v>0</v>
      </c>
      <c r="D51">
        <v>0</v>
      </c>
      <c r="E51">
        <v>0</v>
      </c>
      <c r="F51">
        <v>0</v>
      </c>
      <c r="G51">
        <v>67</v>
      </c>
      <c r="H51">
        <v>112</v>
      </c>
      <c r="I51">
        <v>118</v>
      </c>
      <c r="J51">
        <v>97</v>
      </c>
      <c r="L51" s="8">
        <f>_xlfn.STDEV.P(C51:J51)/AVERAGE(C51:J51)</f>
        <v>1.039345524737467</v>
      </c>
      <c r="P51" t="str">
        <f>IF(L51&lt;10%,"X",IF(L51&lt;25%,"Y","Z"))</f>
        <v>Z</v>
      </c>
      <c r="Q51">
        <f>SUM(C51:J51)</f>
        <v>394</v>
      </c>
      <c r="R51" s="9">
        <f t="shared" si="0"/>
        <v>4.6623246303273565E-4</v>
      </c>
      <c r="S51" s="9">
        <f>SUM($R$3:R51)</f>
        <v>1.0000000000000002</v>
      </c>
      <c r="T51" t="str">
        <f t="shared" si="1"/>
        <v>C</v>
      </c>
      <c r="U51" s="9">
        <f t="shared" si="2"/>
        <v>1.039345524737467</v>
      </c>
      <c r="V51" t="str">
        <f t="shared" si="3"/>
        <v>Z</v>
      </c>
    </row>
    <row r="52" spans="1:22" x14ac:dyDescent="0.25">
      <c r="A52" s="3"/>
      <c r="B52" s="3"/>
    </row>
  </sheetData>
  <sortState ref="C3:R51">
    <sortCondition descending="1" ref="C2"/>
  </sortState>
  <hyperlinks>
    <hyperlink ref="B3" r:id="rId1" display="https://www.softportal.com/software-34301-true-burner.html"/>
    <hyperlink ref="B4" r:id="rId2" display="https://www.softportal.com/software-37928-soft4boost-dvd-creator.html"/>
    <hyperlink ref="B5" r:id="rId3" display="https://www.softportal.com/software-34933-soft4boost-disc-cover-studio.html"/>
    <hyperlink ref="B6" r:id="rId4" display="https://www.softportal.com/software-33810-soft4boost-burning-studio.html"/>
    <hyperlink ref="B7" r:id="rId5" display="https://www.softportal.com/software-31826-soft4boost-easy-disc-burner.html"/>
    <hyperlink ref="B8" r:id="rId6" display="https://www.softportal.com/software-31825-soft4boost-dvd-cloner.html"/>
    <hyperlink ref="B9" r:id="rId7" display="https://www.softportal.com/software-4110-dvdfab.html"/>
    <hyperlink ref="B10" r:id="rId8" display="https://www.softportal.com/software-8256-burnaware-free.html"/>
    <hyperlink ref="B11" r:id="rId9" display="https://www.softportal.com/software-4495-poweriso.html"/>
    <hyperlink ref="B12" r:id="rId10" display="https://www.softportal.com/software-21851-winbin2iso.html"/>
    <hyperlink ref="B13" r:id="rId11" display="https://www.softportal.com/software-1502-dvd-cloner.html"/>
    <hyperlink ref="B14" r:id="rId12" display="https://www.softportal.com/software-36475-wintousb.html"/>
    <hyperlink ref="B15" r:id="rId13" display="https://www.softportal.com/software-4328-ashampoo-burning-studio.html"/>
    <hyperlink ref="B16" r:id="rId14" display="https://www.softportal.com/software-48626-imgdrive.html"/>
    <hyperlink ref="B17" r:id="rId15" display="https://www.softportal.com/software-33148-any-burn.html"/>
    <hyperlink ref="B18" r:id="rId16" display="https://www.softportal.com/software-10-daemon-tools.html"/>
    <hyperlink ref="B19" r:id="rId17" display="https://www.softportal.com/software-23469-universal-usb-installer.html"/>
    <hyperlink ref="B20" r:id="rId18" display="https://www.softportal.com/software-1838-isobuster.html"/>
    <hyperlink ref="B21" r:id="rId19" display="https://www.softportal.com/software-48726-cd-dvd-encryption.html"/>
    <hyperlink ref="B22" r:id="rId20" display="https://www.softportal.com/software-21647-iso-workshop.html"/>
    <hyperlink ref="B24" r:id="rId21" display="https://www.softportal.com/software-15145-ashampoo-burning-studio.html"/>
    <hyperlink ref="B25" r:id="rId22" display="https://www.softportal.com/software-39233-r-drive-image.html"/>
    <hyperlink ref="B26" r:id="rId23" display="https://www.softportal.com/software-2419-anydvd-hd.html"/>
    <hyperlink ref="B27" r:id="rId24" display="https://www.softportal.com/software-45141-etcher.html"/>
    <hyperlink ref="B28" r:id="rId25" display="https://www.softportal.com/software-40960-minitool-partition-wizard-bootable.html"/>
    <hyperlink ref="B29" r:id="rId26" display="https://www.softportal.com/software-22788-winsetupfromusb.html"/>
    <hyperlink ref="B30" r:id="rId27" display="https://www.softportal.com/software-28891-wonderfox-dvd-ripper.html"/>
    <hyperlink ref="B31" r:id="rId28" display="https://www.softportal.com/software-48250-cdrtfe.html"/>
    <hyperlink ref="B32" r:id="rId29" display="https://www.softportal.com/software-12173-dvdstyler.html"/>
    <hyperlink ref="B34" r:id="rId30" display="https://www.softportal.com/software-38408-daemon-tools-pro.html"/>
    <hyperlink ref="B35" r:id="rId31" display="https://www.softportal.com/software-38393-daemon-tools-ultra.html"/>
    <hyperlink ref="B36" r:id="rId32" display="https://www.softportal.com/software-41209-alcohol-120.html"/>
    <hyperlink ref="B37" r:id="rId33" display="https://www.softportal.com/software-17873-alcohol-52-free-edition.html"/>
    <hyperlink ref="B38" r:id="rId34" display="https://www.softportal.com/software-1521-alcohol-120.html"/>
    <hyperlink ref="B39" r:id="rId35" display="https://www.softportal.com/software-38298-clonebd.html"/>
    <hyperlink ref="B40" r:id="rId36" display="https://www.softportal.com/software-3184-virtual-clonedrive.html"/>
    <hyperlink ref="B41" r:id="rId37" display="https://www.softportal.com/software-15956-express-burn.html"/>
    <hyperlink ref="B42" r:id="rId38" display="https://www.softportal.com/software-34698-nero-video.html"/>
    <hyperlink ref="B43" r:id="rId39" display="https://www.softportal.com/software-28583-nero-coverdesigner.html"/>
    <hyperlink ref="B44" r:id="rId40" display="https://www.softportal.com/software-18737-nero-burning-rom.html"/>
    <hyperlink ref="B45" r:id="rId41" display="https://www.softportal.com/software-35903-virtualdvd-media-emulator.html"/>
    <hyperlink ref="B46" r:id="rId42" display="https://www.softportal.com/software-33018-ignition.html"/>
    <hyperlink ref="B47" r:id="rId43" display="https://www.softportal.com/software-2464-ultraiso.html"/>
    <hyperlink ref="B48" r:id="rId44" display="https://www.softportal.com/software-41672-qemu.html"/>
    <hyperlink ref="B49" r:id="rId45" display="https://www.softportal.com/software-36443-dvd-drive-repair.html"/>
    <hyperlink ref="B50" r:id="rId46" display="https://www.softportal.com/software-22066-osfmount.html"/>
    <hyperlink ref="B51" r:id="rId47" display="https://www.softportal.com/software-29027-avs-disc-creator.html"/>
  </hyperlinks>
  <pageMargins left="0.7" right="0.7" top="0.75" bottom="0.75" header="0.3" footer="0.3"/>
  <tableParts count="3">
    <tablePart r:id="rId48"/>
    <tablePart r:id="rId49"/>
    <tablePart r:id="rId50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Лист1!C3:J3</xm:f>
              <xm:sqref>K3</xm:sqref>
            </x14:sparkline>
            <x14:sparkline>
              <xm:f>Лист1!C4:J4</xm:f>
              <xm:sqref>K4</xm:sqref>
            </x14:sparkline>
            <x14:sparkline>
              <xm:f>Лист1!C5:J5</xm:f>
              <xm:sqref>K5</xm:sqref>
            </x14:sparkline>
            <x14:sparkline>
              <xm:f>Лист1!C6:J6</xm:f>
              <xm:sqref>K6</xm:sqref>
            </x14:sparkline>
            <x14:sparkline>
              <xm:f>Лист1!C7:J7</xm:f>
              <xm:sqref>K7</xm:sqref>
            </x14:sparkline>
            <x14:sparkline>
              <xm:f>Лист1!C8:J8</xm:f>
              <xm:sqref>K8</xm:sqref>
            </x14:sparkline>
            <x14:sparkline>
              <xm:f>Лист1!C9:J9</xm:f>
              <xm:sqref>K9</xm:sqref>
            </x14:sparkline>
            <x14:sparkline>
              <xm:f>Лист1!C10:J10</xm:f>
              <xm:sqref>K10</xm:sqref>
            </x14:sparkline>
            <x14:sparkline>
              <xm:f>Лист1!C11:J11</xm:f>
              <xm:sqref>K11</xm:sqref>
            </x14:sparkline>
            <x14:sparkline>
              <xm:f>Лист1!C12:J12</xm:f>
              <xm:sqref>K12</xm:sqref>
            </x14:sparkline>
            <x14:sparkline>
              <xm:f>Лист1!C13:J13</xm:f>
              <xm:sqref>K13</xm:sqref>
            </x14:sparkline>
            <x14:sparkline>
              <xm:f>Лист1!C14:J14</xm:f>
              <xm:sqref>K14</xm:sqref>
            </x14:sparkline>
            <x14:sparkline>
              <xm:f>Лист1!C15:J15</xm:f>
              <xm:sqref>K15</xm:sqref>
            </x14:sparkline>
            <x14:sparkline>
              <xm:f>Лист1!C16:J16</xm:f>
              <xm:sqref>K16</xm:sqref>
            </x14:sparkline>
            <x14:sparkline>
              <xm:f>Лист1!C17:J17</xm:f>
              <xm:sqref>K17</xm:sqref>
            </x14:sparkline>
            <x14:sparkline>
              <xm:f>Лист1!C18:J18</xm:f>
              <xm:sqref>K18</xm:sqref>
            </x14:sparkline>
            <x14:sparkline>
              <xm:f>Лист1!C19:J19</xm:f>
              <xm:sqref>K19</xm:sqref>
            </x14:sparkline>
            <x14:sparkline>
              <xm:f>Лист1!C20:J20</xm:f>
              <xm:sqref>K20</xm:sqref>
            </x14:sparkline>
            <x14:sparkline>
              <xm:f>Лист1!C21:J21</xm:f>
              <xm:sqref>K21</xm:sqref>
            </x14:sparkline>
            <x14:sparkline>
              <xm:f>Лист1!C22:J22</xm:f>
              <xm:sqref>K22</xm:sqref>
            </x14:sparkline>
            <x14:sparkline>
              <xm:f>Лист1!C23:J23</xm:f>
              <xm:sqref>K23</xm:sqref>
            </x14:sparkline>
            <x14:sparkline>
              <xm:f>Лист1!C24:J24</xm:f>
              <xm:sqref>K24</xm:sqref>
            </x14:sparkline>
            <x14:sparkline>
              <xm:f>Лист1!C25:J25</xm:f>
              <xm:sqref>K25</xm:sqref>
            </x14:sparkline>
            <x14:sparkline>
              <xm:f>Лист1!C26:J26</xm:f>
              <xm:sqref>K26</xm:sqref>
            </x14:sparkline>
            <x14:sparkline>
              <xm:f>Лист1!C27:J27</xm:f>
              <xm:sqref>K27</xm:sqref>
            </x14:sparkline>
            <x14:sparkline>
              <xm:f>Лист1!C28:J28</xm:f>
              <xm:sqref>K28</xm:sqref>
            </x14:sparkline>
            <x14:sparkline>
              <xm:f>Лист1!C29:J29</xm:f>
              <xm:sqref>K29</xm:sqref>
            </x14:sparkline>
            <x14:sparkline>
              <xm:f>Лист1!C30:J30</xm:f>
              <xm:sqref>K30</xm:sqref>
            </x14:sparkline>
            <x14:sparkline>
              <xm:f>Лист1!C31:J31</xm:f>
              <xm:sqref>K31</xm:sqref>
            </x14:sparkline>
            <x14:sparkline>
              <xm:f>Лист1!C32:J32</xm:f>
              <xm:sqref>K32</xm:sqref>
            </x14:sparkline>
            <x14:sparkline>
              <xm:f>Лист1!C33:J33</xm:f>
              <xm:sqref>K33</xm:sqref>
            </x14:sparkline>
            <x14:sparkline>
              <xm:f>Лист1!C34:J34</xm:f>
              <xm:sqref>K34</xm:sqref>
            </x14:sparkline>
            <x14:sparkline>
              <xm:f>Лист1!C35:J35</xm:f>
              <xm:sqref>K35</xm:sqref>
            </x14:sparkline>
            <x14:sparkline>
              <xm:f>Лист1!C36:J36</xm:f>
              <xm:sqref>K36</xm:sqref>
            </x14:sparkline>
            <x14:sparkline>
              <xm:f>Лист1!C37:J37</xm:f>
              <xm:sqref>K37</xm:sqref>
            </x14:sparkline>
            <x14:sparkline>
              <xm:f>Лист1!C38:J38</xm:f>
              <xm:sqref>K38</xm:sqref>
            </x14:sparkline>
            <x14:sparkline>
              <xm:f>Лист1!C39:J39</xm:f>
              <xm:sqref>K39</xm:sqref>
            </x14:sparkline>
            <x14:sparkline>
              <xm:f>Лист1!C40:J40</xm:f>
              <xm:sqref>K40</xm:sqref>
            </x14:sparkline>
            <x14:sparkline>
              <xm:f>Лист1!C41:J41</xm:f>
              <xm:sqref>K41</xm:sqref>
            </x14:sparkline>
            <x14:sparkline>
              <xm:f>Лист1!C42:J42</xm:f>
              <xm:sqref>K42</xm:sqref>
            </x14:sparkline>
            <x14:sparkline>
              <xm:f>Лист1!C43:J43</xm:f>
              <xm:sqref>K43</xm:sqref>
            </x14:sparkline>
            <x14:sparkline>
              <xm:f>Лист1!C44:J44</xm:f>
              <xm:sqref>K44</xm:sqref>
            </x14:sparkline>
            <x14:sparkline>
              <xm:f>Лист1!C45:J45</xm:f>
              <xm:sqref>K45</xm:sqref>
            </x14:sparkline>
            <x14:sparkline>
              <xm:f>Лист1!C46:J46</xm:f>
              <xm:sqref>K46</xm:sqref>
            </x14:sparkline>
            <x14:sparkline>
              <xm:f>Лист1!C47:J47</xm:f>
              <xm:sqref>K47</xm:sqref>
            </x14:sparkline>
            <x14:sparkline>
              <xm:f>Лист1!C48:J48</xm:f>
              <xm:sqref>K48</xm:sqref>
            </x14:sparkline>
            <x14:sparkline>
              <xm:f>Лист1!C49:J49</xm:f>
              <xm:sqref>K49</xm:sqref>
            </x14:sparkline>
            <x14:sparkline>
              <xm:f>Лист1!C50:J50</xm:f>
              <xm:sqref>K50</xm:sqref>
            </x14:sparkline>
            <x14:sparkline>
              <xm:f>Лист1!C51:J51</xm:f>
              <xm:sqref>K51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workbookViewId="0">
      <selection activeCell="F14" sqref="F14:H16"/>
    </sheetView>
  </sheetViews>
  <sheetFormatPr defaultRowHeight="15" x14ac:dyDescent="0.25"/>
  <cols>
    <col min="5" max="5" width="19" customWidth="1"/>
    <col min="6" max="8" width="25.140625" customWidth="1"/>
  </cols>
  <sheetData>
    <row r="2" spans="1:8" x14ac:dyDescent="0.25">
      <c r="A2" s="5">
        <f ca="1">RANDBETWEEN(-10,10)</f>
        <v>8</v>
      </c>
      <c r="B2" s="5">
        <f t="shared" ref="B2:C2" ca="1" si="0">RANDBETWEEN(-10,10)</f>
        <v>6</v>
      </c>
      <c r="C2" s="5">
        <f t="shared" ca="1" si="0"/>
        <v>-8</v>
      </c>
      <c r="E2" t="s">
        <v>68</v>
      </c>
      <c r="F2">
        <f t="array" aca="1" ref="F2:H4" ca="1">mA+mB</f>
        <v>7</v>
      </c>
      <c r="G2">
        <f ca="1"/>
        <v>-4</v>
      </c>
      <c r="H2">
        <f ca="1"/>
        <v>-9</v>
      </c>
    </row>
    <row r="3" spans="1:8" x14ac:dyDescent="0.25">
      <c r="A3" s="5">
        <f t="shared" ref="A3:C4" ca="1" si="1">RANDBETWEEN(-10,10)</f>
        <v>-4</v>
      </c>
      <c r="B3" s="5">
        <f t="shared" ca="1" si="1"/>
        <v>-2</v>
      </c>
      <c r="C3" s="5">
        <f t="shared" ca="1" si="1"/>
        <v>-4</v>
      </c>
      <c r="F3">
        <f ca="1"/>
        <v>6</v>
      </c>
      <c r="G3">
        <f ca="1"/>
        <v>-4</v>
      </c>
      <c r="H3">
        <f ca="1"/>
        <v>-14</v>
      </c>
    </row>
    <row r="4" spans="1:8" x14ac:dyDescent="0.25">
      <c r="A4" s="5">
        <f t="shared" ca="1" si="1"/>
        <v>-2</v>
      </c>
      <c r="B4" s="5">
        <f t="shared" ca="1" si="1"/>
        <v>-3</v>
      </c>
      <c r="C4" s="5">
        <f t="shared" ca="1" si="1"/>
        <v>7</v>
      </c>
      <c r="F4">
        <f ca="1"/>
        <v>-2</v>
      </c>
      <c r="G4">
        <f ca="1"/>
        <v>2</v>
      </c>
      <c r="H4">
        <f ca="1"/>
        <v>5</v>
      </c>
    </row>
    <row r="6" spans="1:8" x14ac:dyDescent="0.25">
      <c r="E6" t="s">
        <v>69</v>
      </c>
      <c r="F6">
        <f t="array" aca="1" ref="F6:H8" ca="1">MINVERSE(mB)</f>
        <v>-0.17763157894736842</v>
      </c>
      <c r="G6">
        <f ca="1"/>
        <v>8.223684210526315E-2</v>
      </c>
      <c r="H6">
        <f ca="1"/>
        <v>-0.32236842105263153</v>
      </c>
    </row>
    <row r="7" spans="1:8" x14ac:dyDescent="0.25">
      <c r="A7" s="5">
        <f ca="1">RANDBETWEEN(-10,10)</f>
        <v>-1</v>
      </c>
      <c r="B7" s="5">
        <f t="shared" ref="B7:C7" ca="1" si="2">RANDBETWEEN(-10,10)</f>
        <v>-10</v>
      </c>
      <c r="C7" s="5">
        <f t="shared" ca="1" si="2"/>
        <v>-1</v>
      </c>
      <c r="F7">
        <f ca="1"/>
        <v>-6.5789473684210523E-2</v>
      </c>
      <c r="G7">
        <f ca="1"/>
        <v>-6.5789473684210531E-3</v>
      </c>
      <c r="H7">
        <f ca="1"/>
        <v>6.5789473684210523E-2</v>
      </c>
    </row>
    <row r="8" spans="1:8" x14ac:dyDescent="0.25">
      <c r="A8" s="5">
        <f t="shared" ref="A8:C9" ca="1" si="3">RANDBETWEEN(-10,10)</f>
        <v>10</v>
      </c>
      <c r="B8" s="5">
        <f t="shared" ca="1" si="3"/>
        <v>-2</v>
      </c>
      <c r="C8" s="5">
        <f t="shared" ca="1" si="3"/>
        <v>-10</v>
      </c>
      <c r="F8">
        <f ca="1"/>
        <v>-0.16447368421052633</v>
      </c>
      <c r="G8">
        <f ca="1"/>
        <v>-1.6447368421052634E-2</v>
      </c>
      <c r="H8">
        <f ca="1"/>
        <v>-0.33552631578947367</v>
      </c>
    </row>
    <row r="9" spans="1:8" x14ac:dyDescent="0.25">
      <c r="A9" s="5">
        <f t="shared" ca="1" si="3"/>
        <v>0</v>
      </c>
      <c r="B9" s="5">
        <f t="shared" ca="1" si="3"/>
        <v>5</v>
      </c>
      <c r="C9" s="5">
        <f t="shared" ca="1" si="3"/>
        <v>-2</v>
      </c>
    </row>
    <row r="10" spans="1:8" x14ac:dyDescent="0.25">
      <c r="E10" t="s">
        <v>70</v>
      </c>
      <c r="F10">
        <f t="array" aca="1" ref="F10:H12" ca="1">MMULT(mA,mB)</f>
        <v>52</v>
      </c>
      <c r="G10">
        <f ca="1"/>
        <v>-132</v>
      </c>
      <c r="H10">
        <f ca="1"/>
        <v>-52</v>
      </c>
    </row>
    <row r="11" spans="1:8" x14ac:dyDescent="0.25">
      <c r="F11">
        <f ca="1"/>
        <v>-16</v>
      </c>
      <c r="G11">
        <f ca="1"/>
        <v>24</v>
      </c>
      <c r="H11">
        <f ca="1"/>
        <v>32</v>
      </c>
    </row>
    <row r="12" spans="1:8" x14ac:dyDescent="0.25">
      <c r="F12">
        <f ca="1"/>
        <v>-28</v>
      </c>
      <c r="G12">
        <f ca="1"/>
        <v>61</v>
      </c>
      <c r="H12">
        <f ca="1"/>
        <v>18</v>
      </c>
    </row>
    <row r="14" spans="1:8" x14ac:dyDescent="0.25">
      <c r="E14" t="s">
        <v>71</v>
      </c>
      <c r="F14">
        <f t="array" aca="1" ref="F14:H16" ca="1">TRANSPOSE(mA)</f>
        <v>8</v>
      </c>
      <c r="G14">
        <f ca="1"/>
        <v>-4</v>
      </c>
      <c r="H14">
        <f ca="1"/>
        <v>-2</v>
      </c>
    </row>
    <row r="15" spans="1:8" x14ac:dyDescent="0.25">
      <c r="F15">
        <f ca="1"/>
        <v>6</v>
      </c>
      <c r="G15">
        <f ca="1"/>
        <v>-2</v>
      </c>
      <c r="H15">
        <f ca="1"/>
        <v>-3</v>
      </c>
    </row>
    <row r="16" spans="1:8" x14ac:dyDescent="0.25">
      <c r="F16">
        <f ca="1"/>
        <v>-8</v>
      </c>
      <c r="G16">
        <f ca="1"/>
        <v>-4</v>
      </c>
      <c r="H16">
        <f ca="1"/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C1" sqref="C1:C50"/>
    </sheetView>
  </sheetViews>
  <sheetFormatPr defaultRowHeight="15" x14ac:dyDescent="0.25"/>
  <cols>
    <col min="2" max="2" width="34" customWidth="1"/>
    <col min="3" max="3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</v>
      </c>
      <c r="B2" s="2" t="s">
        <v>10</v>
      </c>
    </row>
    <row r="3" spans="1:2" x14ac:dyDescent="0.25">
      <c r="A3">
        <v>3</v>
      </c>
      <c r="B3" s="2" t="s">
        <v>11</v>
      </c>
    </row>
    <row r="4" spans="1:2" x14ac:dyDescent="0.25">
      <c r="A4">
        <v>4</v>
      </c>
      <c r="B4" s="2" t="s">
        <v>12</v>
      </c>
    </row>
    <row r="5" spans="1:2" x14ac:dyDescent="0.25">
      <c r="A5">
        <v>5</v>
      </c>
      <c r="B5" s="2" t="s">
        <v>13</v>
      </c>
    </row>
    <row r="6" spans="1:2" x14ac:dyDescent="0.25">
      <c r="A6">
        <v>6</v>
      </c>
      <c r="B6" s="2" t="s">
        <v>14</v>
      </c>
    </row>
    <row r="7" spans="1:2" x14ac:dyDescent="0.25">
      <c r="A7">
        <v>7</v>
      </c>
      <c r="B7" s="2" t="s">
        <v>15</v>
      </c>
    </row>
    <row r="8" spans="1:2" x14ac:dyDescent="0.25">
      <c r="A8">
        <v>8</v>
      </c>
      <c r="B8" s="2" t="s">
        <v>16</v>
      </c>
    </row>
    <row r="9" spans="1:2" x14ac:dyDescent="0.25">
      <c r="A9">
        <v>9</v>
      </c>
      <c r="B9" s="2" t="s">
        <v>17</v>
      </c>
    </row>
    <row r="10" spans="1:2" x14ac:dyDescent="0.25">
      <c r="A10">
        <v>10</v>
      </c>
      <c r="B10" s="2" t="s">
        <v>18</v>
      </c>
    </row>
    <row r="11" spans="1:2" x14ac:dyDescent="0.25">
      <c r="A11">
        <v>11</v>
      </c>
      <c r="B11" s="2" t="s">
        <v>19</v>
      </c>
    </row>
    <row r="12" spans="1:2" x14ac:dyDescent="0.25">
      <c r="A12">
        <v>12</v>
      </c>
      <c r="B12" s="2" t="s">
        <v>20</v>
      </c>
    </row>
    <row r="13" spans="1:2" x14ac:dyDescent="0.25">
      <c r="A13">
        <v>13</v>
      </c>
      <c r="B13" s="2" t="s">
        <v>21</v>
      </c>
    </row>
    <row r="14" spans="1:2" x14ac:dyDescent="0.25">
      <c r="A14">
        <v>14</v>
      </c>
      <c r="B14" s="2" t="s">
        <v>22</v>
      </c>
    </row>
    <row r="15" spans="1:2" x14ac:dyDescent="0.25">
      <c r="A15">
        <v>15</v>
      </c>
      <c r="B15" s="2" t="s">
        <v>23</v>
      </c>
    </row>
    <row r="16" spans="1:2" x14ac:dyDescent="0.25">
      <c r="A16">
        <v>16</v>
      </c>
      <c r="B16" s="2" t="s">
        <v>24</v>
      </c>
    </row>
    <row r="17" spans="1:2" x14ac:dyDescent="0.25">
      <c r="A17">
        <v>17</v>
      </c>
      <c r="B17" s="2" t="s">
        <v>25</v>
      </c>
    </row>
    <row r="18" spans="1:2" x14ac:dyDescent="0.25">
      <c r="A18">
        <v>18</v>
      </c>
      <c r="B18" s="2" t="s">
        <v>26</v>
      </c>
    </row>
    <row r="19" spans="1:2" x14ac:dyDescent="0.25">
      <c r="A19">
        <v>19</v>
      </c>
      <c r="B19" s="2" t="s">
        <v>27</v>
      </c>
    </row>
    <row r="20" spans="1:2" x14ac:dyDescent="0.25">
      <c r="A20">
        <v>20</v>
      </c>
      <c r="B20" s="2" t="s">
        <v>28</v>
      </c>
    </row>
    <row r="21" spans="1:2" x14ac:dyDescent="0.25">
      <c r="A21">
        <v>21</v>
      </c>
      <c r="B21" s="2" t="s">
        <v>29</v>
      </c>
    </row>
    <row r="22" spans="1:2" x14ac:dyDescent="0.25">
      <c r="A22">
        <v>22</v>
      </c>
      <c r="B22" t="s">
        <v>30</v>
      </c>
    </row>
    <row r="23" spans="1:2" x14ac:dyDescent="0.25">
      <c r="A23">
        <v>23</v>
      </c>
      <c r="B23" s="2" t="s">
        <v>31</v>
      </c>
    </row>
    <row r="24" spans="1:2" x14ac:dyDescent="0.25">
      <c r="A24">
        <v>24</v>
      </c>
      <c r="B24" s="2" t="s">
        <v>32</v>
      </c>
    </row>
    <row r="25" spans="1:2" x14ac:dyDescent="0.25">
      <c r="A25">
        <v>25</v>
      </c>
      <c r="B25" s="2" t="s">
        <v>33</v>
      </c>
    </row>
    <row r="26" spans="1:2" x14ac:dyDescent="0.25">
      <c r="A26">
        <v>26</v>
      </c>
      <c r="B26" s="2" t="s">
        <v>34</v>
      </c>
    </row>
    <row r="27" spans="1:2" x14ac:dyDescent="0.25">
      <c r="A27">
        <v>27</v>
      </c>
      <c r="B27" s="2" t="s">
        <v>35</v>
      </c>
    </row>
    <row r="28" spans="1:2" x14ac:dyDescent="0.25">
      <c r="A28">
        <v>28</v>
      </c>
      <c r="B28" s="2" t="s">
        <v>36</v>
      </c>
    </row>
    <row r="29" spans="1:2" x14ac:dyDescent="0.25">
      <c r="A29">
        <v>29</v>
      </c>
      <c r="B29" s="2" t="s">
        <v>37</v>
      </c>
    </row>
    <row r="30" spans="1:2" x14ac:dyDescent="0.25">
      <c r="A30">
        <v>30</v>
      </c>
      <c r="B30" s="2" t="s">
        <v>38</v>
      </c>
    </row>
    <row r="31" spans="1:2" x14ac:dyDescent="0.25">
      <c r="A31">
        <v>31</v>
      </c>
      <c r="B31" s="2" t="s">
        <v>39</v>
      </c>
    </row>
    <row r="32" spans="1:2" x14ac:dyDescent="0.25">
      <c r="A32">
        <v>32</v>
      </c>
      <c r="B32" t="s">
        <v>40</v>
      </c>
    </row>
    <row r="33" spans="1:2" x14ac:dyDescent="0.25">
      <c r="A33">
        <v>33</v>
      </c>
      <c r="B33" s="2" t="s">
        <v>41</v>
      </c>
    </row>
    <row r="34" spans="1:2" x14ac:dyDescent="0.25">
      <c r="A34">
        <v>34</v>
      </c>
      <c r="B34" s="2" t="s">
        <v>42</v>
      </c>
    </row>
    <row r="35" spans="1:2" x14ac:dyDescent="0.25">
      <c r="A35">
        <v>35</v>
      </c>
      <c r="B35" s="2" t="s">
        <v>43</v>
      </c>
    </row>
    <row r="36" spans="1:2" x14ac:dyDescent="0.25">
      <c r="A36">
        <v>36</v>
      </c>
      <c r="B36" s="2" t="s">
        <v>44</v>
      </c>
    </row>
    <row r="37" spans="1:2" x14ac:dyDescent="0.25">
      <c r="A37">
        <v>37</v>
      </c>
      <c r="B37" s="2" t="s">
        <v>45</v>
      </c>
    </row>
    <row r="38" spans="1:2" x14ac:dyDescent="0.25">
      <c r="A38">
        <v>38</v>
      </c>
      <c r="B38" s="2" t="s">
        <v>46</v>
      </c>
    </row>
    <row r="39" spans="1:2" x14ac:dyDescent="0.25">
      <c r="A39">
        <v>39</v>
      </c>
      <c r="B39" s="2" t="s">
        <v>47</v>
      </c>
    </row>
    <row r="40" spans="1:2" x14ac:dyDescent="0.25">
      <c r="A40">
        <v>40</v>
      </c>
      <c r="B40" s="2" t="s">
        <v>48</v>
      </c>
    </row>
    <row r="41" spans="1:2" x14ac:dyDescent="0.25">
      <c r="A41">
        <v>41</v>
      </c>
      <c r="B41" s="2" t="s">
        <v>49</v>
      </c>
    </row>
    <row r="42" spans="1:2" x14ac:dyDescent="0.25">
      <c r="A42">
        <v>42</v>
      </c>
      <c r="B42" s="2" t="s">
        <v>50</v>
      </c>
    </row>
    <row r="43" spans="1:2" x14ac:dyDescent="0.25">
      <c r="A43">
        <v>43</v>
      </c>
      <c r="B43" s="2" t="s">
        <v>51</v>
      </c>
    </row>
    <row r="44" spans="1:2" x14ac:dyDescent="0.25">
      <c r="A44">
        <v>44</v>
      </c>
      <c r="B44" s="2" t="s">
        <v>52</v>
      </c>
    </row>
    <row r="45" spans="1:2" x14ac:dyDescent="0.25">
      <c r="A45">
        <v>45</v>
      </c>
      <c r="B45" s="2" t="s">
        <v>53</v>
      </c>
    </row>
    <row r="46" spans="1:2" x14ac:dyDescent="0.25">
      <c r="A46">
        <v>46</v>
      </c>
      <c r="B46" s="2" t="s">
        <v>54</v>
      </c>
    </row>
    <row r="47" spans="1:2" x14ac:dyDescent="0.25">
      <c r="A47">
        <v>47</v>
      </c>
      <c r="B47" s="2" t="s">
        <v>55</v>
      </c>
    </row>
    <row r="48" spans="1:2" x14ac:dyDescent="0.25">
      <c r="A48">
        <v>48</v>
      </c>
      <c r="B48" s="2" t="s">
        <v>56</v>
      </c>
    </row>
    <row r="49" spans="1:2" x14ac:dyDescent="0.25">
      <c r="A49">
        <v>49</v>
      </c>
      <c r="B49" s="2" t="s">
        <v>57</v>
      </c>
    </row>
    <row r="50" spans="1:2" x14ac:dyDescent="0.25">
      <c r="A50">
        <v>50</v>
      </c>
      <c r="B50" s="2" t="s">
        <v>58</v>
      </c>
    </row>
  </sheetData>
  <hyperlinks>
    <hyperlink ref="B2" r:id="rId1" display="https://www.softportal.com/software-34301-true-burner.html"/>
    <hyperlink ref="B3" r:id="rId2" display="https://www.softportal.com/software-37928-soft4boost-dvd-creator.html"/>
    <hyperlink ref="B4" r:id="rId3" display="https://www.softportal.com/software-34933-soft4boost-disc-cover-studio.html"/>
    <hyperlink ref="B5" r:id="rId4" display="https://www.softportal.com/software-33810-soft4boost-burning-studio.html"/>
    <hyperlink ref="B6" r:id="rId5" display="https://www.softportal.com/software-31826-soft4boost-easy-disc-burner.html"/>
    <hyperlink ref="B7" r:id="rId6" display="https://www.softportal.com/software-31825-soft4boost-dvd-cloner.html"/>
    <hyperlink ref="B8" r:id="rId7" display="https://www.softportal.com/software-4110-dvdfab.html"/>
    <hyperlink ref="B9" r:id="rId8" display="https://www.softportal.com/software-8256-burnaware-free.html"/>
    <hyperlink ref="B10" r:id="rId9" display="https://www.softportal.com/software-4495-poweriso.html"/>
    <hyperlink ref="B11" r:id="rId10" display="https://www.softportal.com/software-21851-winbin2iso.html"/>
    <hyperlink ref="B12" r:id="rId11" display="https://www.softportal.com/software-1502-dvd-cloner.html"/>
    <hyperlink ref="B13" r:id="rId12" display="https://www.softportal.com/software-36475-wintousb.html"/>
    <hyperlink ref="B14" r:id="rId13" display="https://www.softportal.com/software-4328-ashampoo-burning-studio.html"/>
    <hyperlink ref="B15" r:id="rId14" display="https://www.softportal.com/software-48626-imgdrive.html"/>
    <hyperlink ref="B16" r:id="rId15" display="https://www.softportal.com/software-33148-any-burn.html"/>
    <hyperlink ref="B17" r:id="rId16" display="https://www.softportal.com/software-10-daemon-tools.html"/>
    <hyperlink ref="B18" r:id="rId17" display="https://www.softportal.com/software-23469-universal-usb-installer.html"/>
    <hyperlink ref="B19" r:id="rId18" display="https://www.softportal.com/software-1838-isobuster.html"/>
    <hyperlink ref="B20" r:id="rId19" display="https://www.softportal.com/software-48726-cd-dvd-encryption.html"/>
    <hyperlink ref="B21" r:id="rId20" display="https://www.softportal.com/software-21647-iso-workshop.html"/>
    <hyperlink ref="B23" r:id="rId21" display="https://www.softportal.com/software-15145-ashampoo-burning-studio.html"/>
    <hyperlink ref="B24" r:id="rId22" display="https://www.softportal.com/software-39233-r-drive-image.html"/>
    <hyperlink ref="B25" r:id="rId23" display="https://www.softportal.com/software-2419-anydvd-hd.html"/>
    <hyperlink ref="B26" r:id="rId24" display="https://www.softportal.com/software-45141-etcher.html"/>
    <hyperlink ref="B27" r:id="rId25" display="https://www.softportal.com/software-40960-minitool-partition-wizard-bootable.html"/>
    <hyperlink ref="B28" r:id="rId26" display="https://www.softportal.com/software-22788-winsetupfromusb.html"/>
    <hyperlink ref="B29" r:id="rId27" display="https://www.softportal.com/software-28891-wonderfox-dvd-ripper.html"/>
    <hyperlink ref="B30" r:id="rId28" display="https://www.softportal.com/software-48250-cdrtfe.html"/>
    <hyperlink ref="B31" r:id="rId29" display="https://www.softportal.com/software-12173-dvdstyler.html"/>
    <hyperlink ref="B33" r:id="rId30" display="https://www.softportal.com/software-38408-daemon-tools-pro.html"/>
    <hyperlink ref="B34" r:id="rId31" display="https://www.softportal.com/software-38393-daemon-tools-ultra.html"/>
    <hyperlink ref="B35" r:id="rId32" display="https://www.softportal.com/software-41209-alcohol-120.html"/>
    <hyperlink ref="B36" r:id="rId33" display="https://www.softportal.com/software-17873-alcohol-52-free-edition.html"/>
    <hyperlink ref="B37" r:id="rId34" display="https://www.softportal.com/software-1521-alcohol-120.html"/>
    <hyperlink ref="B38" r:id="rId35" display="https://www.softportal.com/software-38298-clonebd.html"/>
    <hyperlink ref="B39" r:id="rId36" display="https://www.softportal.com/software-3184-virtual-clonedrive.html"/>
    <hyperlink ref="B40" r:id="rId37" display="https://www.softportal.com/software-15956-express-burn.html"/>
    <hyperlink ref="B41" r:id="rId38" display="https://www.softportal.com/software-34698-nero-video.html"/>
    <hyperlink ref="B42" r:id="rId39" display="https://www.softportal.com/software-28583-nero-coverdesigner.html"/>
    <hyperlink ref="B43" r:id="rId40" display="https://www.softportal.com/software-18737-nero-burning-rom.html"/>
    <hyperlink ref="B44" r:id="rId41" display="https://www.softportal.com/software-35903-virtualdvd-media-emulator.html"/>
    <hyperlink ref="B45" r:id="rId42" display="https://www.softportal.com/software-33018-ignition.html"/>
    <hyperlink ref="B46" r:id="rId43" display="https://www.softportal.com/software-2464-ultraiso.html"/>
    <hyperlink ref="B47" r:id="rId44" display="https://www.softportal.com/software-41672-qemu.html"/>
    <hyperlink ref="B48" r:id="rId45" display="https://www.softportal.com/software-36443-dvd-drive-repair.html"/>
    <hyperlink ref="B49" r:id="rId46" display="https://www.softportal.com/software-22066-osfmount.html"/>
    <hyperlink ref="B50" r:id="rId47" display="https://www.softportal.com/software-29027-avs-disc-creator.html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Лист1</vt:lpstr>
      <vt:lpstr>Лист2</vt:lpstr>
      <vt:lpstr>Лист3</vt:lpstr>
      <vt:lpstr>Лист4</vt:lpstr>
      <vt:lpstr>mA</vt:lpstr>
      <vt:lpstr>mB</vt:lpstr>
      <vt:lpstr>Xsr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</cp:lastModifiedBy>
  <dcterms:created xsi:type="dcterms:W3CDTF">2026-09-22T07:49:24Z</dcterms:created>
  <dcterms:modified xsi:type="dcterms:W3CDTF">2026-09-25T09:14:45Z</dcterms:modified>
</cp:coreProperties>
</file>