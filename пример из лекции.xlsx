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ex26_up64jn\Downloads\"/>
    </mc:Choice>
  </mc:AlternateContent>
  <xr:revisionPtr revIDLastSave="0" documentId="13_ncr:1_{BCBC6DD9-FD73-413D-9F55-E19E653C4DC9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4" i="1" l="1"/>
  <c r="K9" i="1"/>
  <c r="K6" i="1"/>
  <c r="K13" i="1"/>
  <c r="K45" i="1"/>
  <c r="K18" i="1"/>
  <c r="K40" i="1"/>
  <c r="K50" i="1"/>
  <c r="K17" i="1"/>
  <c r="K22" i="1"/>
  <c r="K21" i="1"/>
  <c r="K28" i="1"/>
  <c r="K26" i="1"/>
  <c r="K7" i="1"/>
  <c r="K39" i="1"/>
  <c r="K19" i="1"/>
  <c r="K24" i="1"/>
  <c r="K4" i="1"/>
  <c r="K44" i="1"/>
  <c r="K30" i="1"/>
  <c r="K20" i="1"/>
  <c r="K36" i="1"/>
  <c r="K25" i="1"/>
  <c r="K35" i="1"/>
  <c r="K31" i="1"/>
  <c r="K10" i="1"/>
  <c r="K16" i="1"/>
  <c r="K8" i="1"/>
  <c r="K38" i="1"/>
  <c r="K15" i="1"/>
  <c r="K46" i="1"/>
  <c r="K12" i="1"/>
  <c r="K5" i="1"/>
  <c r="K41" i="1"/>
  <c r="K29" i="1"/>
  <c r="K48" i="1"/>
  <c r="K42" i="1"/>
  <c r="K23" i="1"/>
  <c r="K49" i="1"/>
  <c r="K33" i="1"/>
  <c r="K27" i="1"/>
  <c r="K34" i="1"/>
  <c r="K51" i="1"/>
  <c r="K37" i="1"/>
  <c r="K3" i="1"/>
  <c r="K32" i="1"/>
  <c r="K47" i="1"/>
  <c r="K43" i="1"/>
  <c r="K11" i="1"/>
  <c r="L43" i="1" l="1"/>
  <c r="L25" i="1"/>
  <c r="L21" i="1"/>
  <c r="L32" i="1"/>
  <c r="L36" i="1"/>
  <c r="L22" i="1"/>
  <c r="L20" i="1"/>
  <c r="L12" i="1"/>
  <c r="L30" i="1"/>
  <c r="L45" i="1"/>
  <c r="L33" i="1"/>
  <c r="L8" i="1"/>
  <c r="L19" i="1"/>
  <c r="L6" i="1"/>
  <c r="L9" i="1"/>
  <c r="L11" i="1"/>
  <c r="L42" i="1"/>
  <c r="Q3" i="1"/>
  <c r="L26" i="1" s="1"/>
  <c r="L7" i="1" l="1"/>
  <c r="L24" i="1"/>
  <c r="L37" i="1"/>
  <c r="L38" i="1"/>
  <c r="L27" i="1"/>
  <c r="L51" i="1"/>
  <c r="L4" i="1"/>
  <c r="L16" i="1"/>
  <c r="L40" i="1"/>
  <c r="L3" i="1"/>
  <c r="N3" i="1" s="1"/>
  <c r="N4" i="1" s="1"/>
  <c r="N5" i="1" s="1"/>
  <c r="N6" i="1" s="1"/>
  <c r="L17" i="1"/>
  <c r="L41" i="1"/>
  <c r="L10" i="1"/>
  <c r="L23" i="1"/>
  <c r="L13" i="1"/>
  <c r="L49" i="1"/>
  <c r="L50" i="1"/>
  <c r="L15" i="1"/>
  <c r="L39" i="1"/>
  <c r="L5" i="1"/>
  <c r="L29" i="1"/>
  <c r="L18" i="1"/>
  <c r="L47" i="1"/>
  <c r="L14" i="1"/>
  <c r="L34" i="1"/>
  <c r="L28" i="1"/>
  <c r="L44" i="1"/>
  <c r="L35" i="1"/>
  <c r="L31" i="1"/>
  <c r="L46" i="1"/>
  <c r="L48" i="1"/>
  <c r="N7" i="1" l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</calcChain>
</file>

<file path=xl/sharedStrings.xml><?xml version="1.0" encoding="utf-8"?>
<sst xmlns="http://schemas.openxmlformats.org/spreadsheetml/2006/main" count="113" uniqueCount="67">
  <si>
    <t>Артикул</t>
  </si>
  <si>
    <t>Продукт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</si>
  <si>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</si>
  <si>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</si>
  <si>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</si>
  <si>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</si>
  <si>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</si>
  <si>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</si>
  <si>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</si>
  <si>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</si>
  <si>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True Burner 8.6</t>
  </si>
  <si>
    <t>Soft4Boost DVD Creator 6.4.9.867</t>
  </si>
  <si>
    <t>Soft4Boost Disc Cover Studio 7.3.9.953</t>
  </si>
  <si>
    <t>Soft4Boost Burning Studio 7.2.1.143</t>
  </si>
  <si>
    <t>Soft4Boost Easy Disc Burner 7.7.7.953</t>
  </si>
  <si>
    <t>Soft4Boost DVD Cloner 7.9.9.203</t>
  </si>
  <si>
    <t>DVDFab 12.0.8.6</t>
  </si>
  <si>
    <t>BurnAware Free 15.8</t>
  </si>
  <si>
    <t>PowerISO 8.3</t>
  </si>
  <si>
    <t>WinBin2Iso 5.66</t>
  </si>
  <si>
    <t>DVD-Cloner 2022 19.60.1475</t>
  </si>
  <si>
    <t>WinToUSB 7.1</t>
  </si>
  <si>
    <t>Ashampoo Burning Studio 23.0.9</t>
  </si>
  <si>
    <t>ImgDrive 1.8.3</t>
  </si>
  <si>
    <t>Any Burn 5.4</t>
  </si>
  <si>
    <t>DAEMON Tools Lite 11.0.0.1996</t>
  </si>
  <si>
    <t>Universal USB Installer 2.0.1.4</t>
  </si>
  <si>
    <t>IsoBuster 5.0</t>
  </si>
  <si>
    <t>CD DVD Encryption 3.2.0</t>
  </si>
  <si>
    <t>ISO Workshop 11.3</t>
  </si>
  <si>
    <t>Xreveal 2.2.4</t>
  </si>
  <si>
    <t>Ashampoo Burning Studio Free 1.23.8</t>
  </si>
  <si>
    <t>R-Drive Image 7.0 build 7004</t>
  </si>
  <si>
    <t>AnyDVD HD 8.6.1.0</t>
  </si>
  <si>
    <t>Etcher 1.7.8</t>
  </si>
  <si>
    <t>MiniTool Partition Wizard Bootable 12.6</t>
  </si>
  <si>
    <t>WinSetupFromUSB 1.10</t>
  </si>
  <si>
    <t>WonderFox DVD Ripper 19.1</t>
  </si>
  <si>
    <t>CDRtfe 1.5.9</t>
  </si>
  <si>
    <t>DVDStyler 3.2.1</t>
  </si>
  <si>
    <t>CDRoller 11.80.20</t>
  </si>
  <si>
    <t>DAEMON Tools Pro 8.3.1.0811</t>
  </si>
  <si>
    <t>DAEMON Tools Ultra 6.1.0.1746</t>
  </si>
  <si>
    <t>Alcohol 120% 2.1.1.1019 Free Edition</t>
  </si>
  <si>
    <t>Alcohol 52% Free Edition 2.1.1.1019</t>
  </si>
  <si>
    <t>Alcohol 120% 2.1.1.1019</t>
  </si>
  <si>
    <t>CloneBD 1.2.9.0</t>
  </si>
  <si>
    <t>Virtual CloneDrive 5.5.2.0</t>
  </si>
  <si>
    <t>Express Burn 10.30</t>
  </si>
  <si>
    <t>Nero Video 23.0.1000</t>
  </si>
  <si>
    <t>Nero CoverDesigner 23.5.1000</t>
  </si>
  <si>
    <t>Nero Burning ROM 23.0.1000</t>
  </si>
  <si>
    <t>VirtualDVD Media Emulator 9.4.0.0</t>
  </si>
  <si>
    <t>Ignition 2.26.4.78</t>
  </si>
  <si>
    <t>UltraISO 9.7.6.3829</t>
  </si>
  <si>
    <t>QEMU 6.0.0 (06.07.2021)</t>
  </si>
  <si>
    <t>DVD Drive Repair 8.1.3.1186</t>
  </si>
  <si>
    <t>OSFMount 3.1.1000</t>
  </si>
  <si>
    <t>AVS Disc Creator 6.2.4.564</t>
  </si>
  <si>
    <t>Выручка</t>
  </si>
  <si>
    <t>Доля</t>
  </si>
  <si>
    <t>X</t>
  </si>
  <si>
    <t>Y</t>
  </si>
  <si>
    <t>A</t>
  </si>
  <si>
    <t>B</t>
  </si>
  <si>
    <t>C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</si>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</sst>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0" fillId="3" borderId="2" xfId="0" applyFill="1" applyBorder="1"/>
    <xf numFmtId="0" fontId="2" fillId="0" borderId="0" xfId="2"/>
    <xf numFmtId="0" fontId="1" fillId="2" borderId="1" xfId="1"/>
    <xf numFmtId="0" fontId="0" fillId="3" borderId="0" xfId="0" applyFill="1"/>
    <xf numFmtId="0" fontId="0" fillId="3" borderId="3" xfId="0" applyFill="1" applyBorder="1"/>
    <xf numFmtId="9" fontId="0" fillId="0" borderId="0" xfId="3" applyFont="1"/>
    <xf numFmtId="10" fontId="0" fillId="0" borderId="0" xfId="3" applyNumberFormat="1" applyFont="1"/>
    <xf numFmtId="9" fontId="0" fillId="4" borderId="0" xfId="3" applyFont="1" applyFill="1"/>
    <xf numFmtId="9" fontId="0" fillId="5" borderId="0" xfId="3" applyFont="1" applyFill="1"/>
    <xf numFmtId="9" fontId="0" fillId="6" borderId="0" xfId="3" applyFont="1" applyFill="1"/>
    <xf numFmtId="10" fontId="0" fillId="4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0" fontId="0" fillId="3" borderId="4" xfId="0" applyFill="1" applyBorder="1"/>
    <xf numFmtId="0" fontId="0" fillId="3" borderId="0" xfId="0" applyFill="1" applyBorder="1"/>
    <xf numFmtId="9" fontId="0" fillId="3" borderId="0" xfId="0" applyNumberFormat="1" applyFill="1" applyBorder="1"/>
    <xf numFmtId="0" fontId="0" fillId="4" borderId="0" xfId="0" applyFill="1"/>
    <xf numFmtId="0" fontId="0" fillId="5" borderId="0" xfId="0" applyFill="1"/>
    <xf numFmtId="0" fontId="0" fillId="7" borderId="0" xfId="0" applyFill="1"/>
  </cellXfs>
  <cellStyles count="4">
    <cellStyle name="Вывод" xfId="1" builtinId="21"/>
    <cellStyle name="Гиперссылка" xfId="2" builtinId="8"/>
    <cellStyle name="Обычный" xfId="0" builtinId="0"/>
    <cellStyle name="Процентный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514957544885485"/>
          <c:y val="0.34753502126816604"/>
          <c:w val="0.72706454063850323"/>
          <c:h val="0.610880815684231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Лист1!$M$2:$M$51</c:f>
              <c:numCache>
                <c:formatCode>0%</c:formatCode>
                <c:ptCount val="5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</c:numCache>
            </c:numRef>
          </c:xVal>
          <c:yVal>
            <c:numRef>
              <c:f>Лист1!$N$2:$N$51</c:f>
              <c:numCache>
                <c:formatCode>0.00%</c:formatCode>
                <c:ptCount val="50"/>
                <c:pt idx="0" formatCode="0%">
                  <c:v>0</c:v>
                </c:pt>
                <c:pt idx="1">
                  <c:v>0.38233310297820777</c:v>
                </c:pt>
                <c:pt idx="2">
                  <c:v>0.76266400969384862</c:v>
                </c:pt>
                <c:pt idx="3">
                  <c:v>0.82654140712270674</c:v>
                </c:pt>
                <c:pt idx="4">
                  <c:v>0.86312882215953202</c:v>
                </c:pt>
                <c:pt idx="5">
                  <c:v>0.87949784160402911</c:v>
                </c:pt>
                <c:pt idx="6">
                  <c:v>0.89311206619080985</c:v>
                </c:pt>
                <c:pt idx="7">
                  <c:v>0.90573465929530272</c:v>
                </c:pt>
                <c:pt idx="8">
                  <c:v>0.91592669027017826</c:v>
                </c:pt>
                <c:pt idx="9">
                  <c:v>0.92548563909347381</c:v>
                </c:pt>
                <c:pt idx="10">
                  <c:v>0.93290867523713972</c:v>
                </c:pt>
                <c:pt idx="11">
                  <c:v>0.939908078838253</c:v>
                </c:pt>
                <c:pt idx="12">
                  <c:v>0.94658916636688961</c:v>
                </c:pt>
                <c:pt idx="13">
                  <c:v>0.95272947157165322</c:v>
                </c:pt>
                <c:pt idx="14">
                  <c:v>0.95811836151239205</c:v>
                </c:pt>
                <c:pt idx="15">
                  <c:v>0.96349778480413528</c:v>
                </c:pt>
                <c:pt idx="16">
                  <c:v>0.9686452751954866</c:v>
                </c:pt>
                <c:pt idx="17">
                  <c:v>0.97239880152223745</c:v>
                </c:pt>
                <c:pt idx="18">
                  <c:v>0.97504354658537995</c:v>
                </c:pt>
                <c:pt idx="19">
                  <c:v>0.97734039229793457</c:v>
                </c:pt>
                <c:pt idx="20">
                  <c:v>0.97952600488479102</c:v>
                </c:pt>
                <c:pt idx="21">
                  <c:v>0.98149388454474895</c:v>
                </c:pt>
                <c:pt idx="22">
                  <c:v>0.98313516481435914</c:v>
                </c:pt>
                <c:pt idx="23">
                  <c:v>0.98472911183899137</c:v>
                </c:pt>
                <c:pt idx="24">
                  <c:v>0.98599054281765353</c:v>
                </c:pt>
                <c:pt idx="25">
                  <c:v>0.98716204063085766</c:v>
                </c:pt>
                <c:pt idx="26">
                  <c:v>0.98831815513944388</c:v>
                </c:pt>
                <c:pt idx="27">
                  <c:v>0.98938551981369649</c:v>
                </c:pt>
                <c:pt idx="28">
                  <c:v>0.99041738455421569</c:v>
                </c:pt>
                <c:pt idx="29">
                  <c:v>0.99127056629494315</c:v>
                </c:pt>
                <c:pt idx="30">
                  <c:v>0.99210126474430604</c:v>
                </c:pt>
                <c:pt idx="31">
                  <c:v>0.99282309673021962</c:v>
                </c:pt>
                <c:pt idx="32">
                  <c:v>0.99349877880227977</c:v>
                </c:pt>
                <c:pt idx="33">
                  <c:v>0.99416026090084653</c:v>
                </c:pt>
                <c:pt idx="34">
                  <c:v>0.99480872635704432</c:v>
                </c:pt>
                <c:pt idx="35">
                  <c:v>0.99543589185300208</c:v>
                </c:pt>
                <c:pt idx="36">
                  <c:v>0.99601690743510629</c:v>
                </c:pt>
                <c:pt idx="37">
                  <c:v>0.9965529564344815</c:v>
                </c:pt>
                <c:pt idx="38">
                  <c:v>0.99707243879811447</c:v>
                </c:pt>
                <c:pt idx="39">
                  <c:v>0.99754695457901832</c:v>
                </c:pt>
                <c:pt idx="40">
                  <c:v>0.99801318704205111</c:v>
                </c:pt>
                <c:pt idx="41">
                  <c:v>0.99837055304163458</c:v>
                </c:pt>
                <c:pt idx="42">
                  <c:v>0.99864035253800887</c:v>
                </c:pt>
                <c:pt idx="43">
                  <c:v>0.99889595206088977</c:v>
                </c:pt>
                <c:pt idx="44">
                  <c:v>0.99915036825264625</c:v>
                </c:pt>
                <c:pt idx="45">
                  <c:v>0.99939768445765598</c:v>
                </c:pt>
                <c:pt idx="46">
                  <c:v>0.99963435068254569</c:v>
                </c:pt>
                <c:pt idx="47">
                  <c:v>0.99979291705322182</c:v>
                </c:pt>
                <c:pt idx="48">
                  <c:v>0.99994793343052457</c:v>
                </c:pt>
                <c:pt idx="49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63-4D74-A9E7-8BFD2AB36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79935"/>
        <c:axId val="1627299951"/>
      </c:scatterChart>
      <c:valAx>
        <c:axId val="180517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7299951"/>
        <c:crosses val="autoZero"/>
        <c:crossBetween val="midCat"/>
      </c:valAx>
      <c:valAx>
        <c:axId val="16272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517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208288</xdr:colOff>
      <xdr:row>11</xdr:row>
      <xdr:rowOff>76553</xdr:rowOff>
    </xdr:from>
    <xdr:to>
      <xdr:col>30</xdr:col>
      <xdr:colOff>227337</xdr:colOff>
      <xdr:row>40</xdr:row>
      <xdr:rowOff>109890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B90A076-4F85-4EA8-BB4D-CB3CF1451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416902</xdr:colOff>
      <xdr:row>24</xdr:row>
      <xdr:rowOff>101844</xdr:rowOff>
    </xdr:from>
    <xdr:to>
      <xdr:col>25</xdr:col>
      <xdr:colOff>531202</xdr:colOff>
      <xdr:row>26</xdr:row>
      <xdr:rowOff>101844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CF28FFDC-F7A0-43E2-A6EF-A4AB0F5CB015}"/>
            </a:ext>
          </a:extLst>
        </xdr:cNvPr>
        <xdr:cNvCxnSpPr/>
      </xdr:nvCxnSpPr>
      <xdr:spPr>
        <a:xfrm flipV="1">
          <a:off x="7875710" y="4673844"/>
          <a:ext cx="4979377" cy="38100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23</xdr:row>
      <xdr:rowOff>104775</xdr:rowOff>
    </xdr:from>
    <xdr:to>
      <xdr:col>25</xdr:col>
      <xdr:colOff>152400</xdr:colOff>
      <xdr:row>25</xdr:row>
      <xdr:rowOff>104775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B6D9F12A-F90B-49DE-AC77-5CEBB0310679}"/>
            </a:ext>
          </a:extLst>
        </xdr:cNvPr>
        <xdr:cNvCxnSpPr/>
      </xdr:nvCxnSpPr>
      <xdr:spPr>
        <a:xfrm flipV="1">
          <a:off x="7505700" y="4486275"/>
          <a:ext cx="4991100" cy="38100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0.10523</cdr:x>
      <cdr:y>0.44913</cdr:y>
    </cdr:from>
    <cdr:to>
      <cdr:x>0.69826</cdr:x>
      <cdr:y>0.96091</cdr:y>
    </cdr:to>
    <cdr:cxnSp macro="">
      <cdr:nvCxnSpPr>
        <cdr:cNvPr id="8" name="Прямая соединительная линия 7">
          <a:extLst xmlns:a="http://schemas.openxmlformats.org/drawingml/2006/main">
            <a:ext uri="{FF2B5EF4-FFF2-40B4-BE49-F238E27FC236}">
              <a16:creationId xmlns:a16="http://schemas.microsoft.com/office/drawing/2014/main" id="{BDA2CBFC-BAF5-4D10-B49C-4BB3EC8F01FB}"/>
            </a:ext>
          </a:extLst>
        </cdr:cNvPr>
        <cdr:cNvCxnSpPr/>
      </cdr:nvCxnSpPr>
      <cdr:spPr>
        <a:xfrm xmlns:a="http://schemas.openxmlformats.org/drawingml/2006/main" flipV="1">
          <a:off x="966294" y="2496207"/>
          <a:ext cx="5445673" cy="284436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0.00436</cdr:x>
      <cdr:y>0.13356</cdr:y>
    </cdr:from>
    <cdr:to>
      <cdr:x>0.5974</cdr:x>
      <cdr:y>0.64533</cdr:y>
    </cdr:to>
    <cdr:cxnSp macro="">
      <cdr:nvCxnSpPr>
        <cdr:cNvPr id="9" name="Прямая соединительная линия 8">
          <a:extLst xmlns:a="http://schemas.openxmlformats.org/drawingml/2006/main">
            <a:ext uri="{FF2B5EF4-FFF2-40B4-BE49-F238E27FC236}">
              <a16:creationId xmlns:a16="http://schemas.microsoft.com/office/drawing/2014/main" id="{5D9C3B08-099B-45B5-A4D5-3AEB7711D857}"/>
            </a:ext>
          </a:extLst>
        </cdr:cNvPr>
        <cdr:cNvCxnSpPr/>
      </cdr:nvCxnSpPr>
      <cdr:spPr>
        <a:xfrm xmlns:a="http://schemas.openxmlformats.org/drawingml/2006/main" flipV="1">
          <a:off x="40070" y="742293"/>
          <a:ext cx="5445673" cy="284436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oftportal.com/software-4328-ashampoo-burning-studio.html" TargetMode="External"/><Relationship Id="rId18" Type="http://schemas.openxmlformats.org/officeDocument/2006/relationships/hyperlink" Target="https://www.softportal.com/software-1838-isobuster.html" TargetMode="External"/><Relationship Id="rId26" Type="http://schemas.openxmlformats.org/officeDocument/2006/relationships/hyperlink" Target="https://www.softportal.com/software-22788-winsetupfromusb.html" TargetMode="External"/><Relationship Id="rId39" Type="http://schemas.openxmlformats.org/officeDocument/2006/relationships/hyperlink" Target="https://www.softportal.com/software-28583-nero-coverdesigner.html" TargetMode="External"/><Relationship Id="rId21" Type="http://schemas.openxmlformats.org/officeDocument/2006/relationships/hyperlink" Target="https://www.softportal.com/software-15145-ashampoo-burning-studio.html" TargetMode="External"/><Relationship Id="rId34" Type="http://schemas.openxmlformats.org/officeDocument/2006/relationships/hyperlink" Target="https://www.softportal.com/software-1521-alcohol-120.html" TargetMode="External"/><Relationship Id="rId42" Type="http://schemas.openxmlformats.org/officeDocument/2006/relationships/hyperlink" Target="https://www.softportal.com/software-33018-ignition.html" TargetMode="External"/><Relationship Id="rId47" Type="http://schemas.openxmlformats.org/officeDocument/2006/relationships/hyperlink" Target="https://www.softportal.com/software-29027-avs-disc-creator.html" TargetMode="External"/><Relationship Id="rId7" Type="http://schemas.openxmlformats.org/officeDocument/2006/relationships/hyperlink" Target="https://www.softportal.com/software-4110-dvdfab.html" TargetMode="External"/><Relationship Id="rId2" Type="http://schemas.openxmlformats.org/officeDocument/2006/relationships/hyperlink" Target="https://www.softportal.com/software-37928-soft4boost-dvd-creator.html" TargetMode="External"/><Relationship Id="rId16" Type="http://schemas.openxmlformats.org/officeDocument/2006/relationships/hyperlink" Target="https://www.softportal.com/software-10-daemon-tools.html" TargetMode="External"/><Relationship Id="rId29" Type="http://schemas.openxmlformats.org/officeDocument/2006/relationships/hyperlink" Target="https://www.softportal.com/software-12173-dvdstyler.html" TargetMode="External"/><Relationship Id="rId1" Type="http://schemas.openxmlformats.org/officeDocument/2006/relationships/hyperlink" Target="https://www.softportal.com/software-34301-true-burner.html" TargetMode="External"/><Relationship Id="rId6" Type="http://schemas.openxmlformats.org/officeDocument/2006/relationships/hyperlink" Target="https://www.softportal.com/software-31825-soft4boost-dvd-cloner.html" TargetMode="External"/><Relationship Id="rId11" Type="http://schemas.openxmlformats.org/officeDocument/2006/relationships/hyperlink" Target="https://www.softportal.com/software-1502-dvd-cloner.html" TargetMode="External"/><Relationship Id="rId24" Type="http://schemas.openxmlformats.org/officeDocument/2006/relationships/hyperlink" Target="https://www.softportal.com/software-45141-etcher.html" TargetMode="External"/><Relationship Id="rId32" Type="http://schemas.openxmlformats.org/officeDocument/2006/relationships/hyperlink" Target="https://www.softportal.com/software-41209-alcohol-120.html" TargetMode="External"/><Relationship Id="rId37" Type="http://schemas.openxmlformats.org/officeDocument/2006/relationships/hyperlink" Target="https://www.softportal.com/software-15956-express-burn.html" TargetMode="External"/><Relationship Id="rId40" Type="http://schemas.openxmlformats.org/officeDocument/2006/relationships/hyperlink" Target="https://www.softportal.com/software-18737-nero-burning-rom.html" TargetMode="External"/><Relationship Id="rId45" Type="http://schemas.openxmlformats.org/officeDocument/2006/relationships/hyperlink" Target="https://www.softportal.com/software-36443-dvd-drive-repair.html" TargetMode="External"/><Relationship Id="rId5" Type="http://schemas.openxmlformats.org/officeDocument/2006/relationships/hyperlink" Target="https://www.softportal.com/software-31826-soft4boost-easy-disc-burner.html" TargetMode="External"/><Relationship Id="rId15" Type="http://schemas.openxmlformats.org/officeDocument/2006/relationships/hyperlink" Target="https://www.softportal.com/software-33148-any-burn.html" TargetMode="External"/><Relationship Id="rId23" Type="http://schemas.openxmlformats.org/officeDocument/2006/relationships/hyperlink" Target="https://www.softportal.com/software-2419-anydvd-hd.html" TargetMode="External"/><Relationship Id="rId28" Type="http://schemas.openxmlformats.org/officeDocument/2006/relationships/hyperlink" Target="https://www.softportal.com/software-48250-cdrtfe.html" TargetMode="External"/><Relationship Id="rId36" Type="http://schemas.openxmlformats.org/officeDocument/2006/relationships/hyperlink" Target="https://www.softportal.com/software-3184-virtual-clonedrive.html" TargetMode="External"/><Relationship Id="rId10" Type="http://schemas.openxmlformats.org/officeDocument/2006/relationships/hyperlink" Target="https://www.softportal.com/software-21851-winbin2iso.html" TargetMode="External"/><Relationship Id="rId19" Type="http://schemas.openxmlformats.org/officeDocument/2006/relationships/hyperlink" Target="https://www.softportal.com/software-48726-cd-dvd-encryption.html" TargetMode="External"/><Relationship Id="rId31" Type="http://schemas.openxmlformats.org/officeDocument/2006/relationships/hyperlink" Target="https://www.softportal.com/software-38393-daemon-tools-ultra.html" TargetMode="External"/><Relationship Id="rId44" Type="http://schemas.openxmlformats.org/officeDocument/2006/relationships/hyperlink" Target="https://www.softportal.com/software-41672-qemu.html" TargetMode="External"/><Relationship Id="rId4" Type="http://schemas.openxmlformats.org/officeDocument/2006/relationships/hyperlink" Target="https://www.softportal.com/software-33810-soft4boost-burning-studio.html" TargetMode="External"/><Relationship Id="rId9" Type="http://schemas.openxmlformats.org/officeDocument/2006/relationships/hyperlink" Target="https://www.softportal.com/software-4495-poweriso.html" TargetMode="External"/><Relationship Id="rId14" Type="http://schemas.openxmlformats.org/officeDocument/2006/relationships/hyperlink" Target="https://www.softportal.com/software-48626-imgdrive.html" TargetMode="External"/><Relationship Id="rId22" Type="http://schemas.openxmlformats.org/officeDocument/2006/relationships/hyperlink" Target="https://www.softportal.com/software-39233-r-drive-image.html" TargetMode="External"/><Relationship Id="rId27" Type="http://schemas.openxmlformats.org/officeDocument/2006/relationships/hyperlink" Target="https://www.softportal.com/software-28891-wonderfox-dvd-ripper.html" TargetMode="External"/><Relationship Id="rId30" Type="http://schemas.openxmlformats.org/officeDocument/2006/relationships/hyperlink" Target="https://www.softportal.com/software-38408-daemon-tools-pro.html" TargetMode="External"/><Relationship Id="rId35" Type="http://schemas.openxmlformats.org/officeDocument/2006/relationships/hyperlink" Target="https://www.softportal.com/software-38298-clonebd.html" TargetMode="External"/><Relationship Id="rId43" Type="http://schemas.openxmlformats.org/officeDocument/2006/relationships/hyperlink" Target="https://www.softportal.com/software-2464-ultraiso.html" TargetMode="External"/><Relationship Id="rId48" Type="http://schemas.openxmlformats.org/officeDocument/2006/relationships/drawing" Target="../drawings/drawing1.xml"/><Relationship Id="rId8" Type="http://schemas.openxmlformats.org/officeDocument/2006/relationships/hyperlink" Target="https://www.softportal.com/software-8256-burnaware-free.html" TargetMode="External"/><Relationship Id="rId3" Type="http://schemas.openxmlformats.org/officeDocument/2006/relationships/hyperlink" Target="https://www.softportal.com/software-34933-soft4boost-disc-cover-studio.html" TargetMode="External"/><Relationship Id="rId12" Type="http://schemas.openxmlformats.org/officeDocument/2006/relationships/hyperlink" Target="https://www.softportal.com/software-36475-wintousb.html" TargetMode="External"/><Relationship Id="rId17" Type="http://schemas.openxmlformats.org/officeDocument/2006/relationships/hyperlink" Target="https://www.softportal.com/software-23469-universal-usb-installer.html" TargetMode="External"/><Relationship Id="rId25" Type="http://schemas.openxmlformats.org/officeDocument/2006/relationships/hyperlink" Target="https://www.softportal.com/software-40960-minitool-partition-wizard-bootable.html" TargetMode="External"/><Relationship Id="rId33" Type="http://schemas.openxmlformats.org/officeDocument/2006/relationships/hyperlink" Target="https://www.softportal.com/software-17873-alcohol-52-free-edition.html" TargetMode="External"/><Relationship Id="rId38" Type="http://schemas.openxmlformats.org/officeDocument/2006/relationships/hyperlink" Target="https://www.softportal.com/software-34698-nero-video.html" TargetMode="External"/><Relationship Id="rId46" Type="http://schemas.openxmlformats.org/officeDocument/2006/relationships/hyperlink" Target="https://www.softportal.com/software-22066-osfmount.html" TargetMode="External"/><Relationship Id="rId20" Type="http://schemas.openxmlformats.org/officeDocument/2006/relationships/hyperlink" Target="https://www.softportal.com/software-21647-iso-workshop.html" TargetMode="External"/><Relationship Id="rId41" Type="http://schemas.openxmlformats.org/officeDocument/2006/relationships/hyperlink" Target="https://www.softportal.com/software-35903-virtualdvd-media-emulat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zoomScale="130" zoomScaleNormal="130" workbookViewId="0">
      <selection activeCell="O3" sqref="O3"/>
    </sheetView>
  </sheetViews>
  <sheetFormatPr defaultRowHeight="15" x14ac:dyDescent="0.25"/>
  <cols>
    <col min="1" max="1" width="7" style="4" customWidth="1"/>
    <col min="2" max="2" width="41" style="4" customWidth="1"/>
    <col min="3" max="10" width="8.42578125" style="4" hidden="1" customWidth="1"/>
    <col min="13" max="13" width="9.140625" style="6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59</v>
      </c>
      <c r="L1" s="5" t="s">
        <v>60</v>
      </c>
      <c r="M1" s="6" t="s">
        <v>61</v>
      </c>
      <c r="N1" s="14" t="s">
        <v>62</v>
      </c>
    </row>
    <row r="2" spans="1:17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6">
        <v>0</v>
      </c>
      <c r="N2" s="16">
        <v>0</v>
      </c>
      <c r="O2" t="s">
        <v>66</v>
      </c>
    </row>
    <row r="3" spans="1:17" x14ac:dyDescent="0.25">
      <c r="A3">
        <v>17</v>
      </c>
      <c r="B3" s="2" t="s">
        <v>25</v>
      </c>
      <c r="C3">
        <v>28908</v>
      </c>
      <c r="D3">
        <v>22336</v>
      </c>
      <c r="E3">
        <v>59156</v>
      </c>
      <c r="F3">
        <v>45400</v>
      </c>
      <c r="G3">
        <v>49171</v>
      </c>
      <c r="H3">
        <v>45400</v>
      </c>
      <c r="I3">
        <v>34748</v>
      </c>
      <c r="J3">
        <v>37980</v>
      </c>
      <c r="K3">
        <f>SUM(C3:J3)</f>
        <v>323099</v>
      </c>
      <c r="L3" s="7">
        <f>K3/$Q$3</f>
        <v>0.38233310297820777</v>
      </c>
      <c r="M3" s="8">
        <v>0.02</v>
      </c>
      <c r="N3" s="11">
        <f>L3</f>
        <v>0.38233310297820777</v>
      </c>
      <c r="O3" s="17" t="s">
        <v>63</v>
      </c>
      <c r="Q3">
        <f>SUM(K3:K51)</f>
        <v>845072</v>
      </c>
    </row>
    <row r="4" spans="1:17" x14ac:dyDescent="0.25">
      <c r="A4">
        <v>46</v>
      </c>
      <c r="B4" s="2" t="s">
        <v>54</v>
      </c>
      <c r="C4">
        <v>51196</v>
      </c>
      <c r="D4">
        <v>40887</v>
      </c>
      <c r="E4">
        <v>41944</v>
      </c>
      <c r="F4">
        <v>40125</v>
      </c>
      <c r="G4">
        <v>38782</v>
      </c>
      <c r="H4">
        <v>35823</v>
      </c>
      <c r="I4">
        <v>35098</v>
      </c>
      <c r="J4">
        <v>37552</v>
      </c>
      <c r="K4">
        <f>SUM(C4:J4)</f>
        <v>321407</v>
      </c>
      <c r="L4" s="7">
        <f t="shared" ref="L4:L51" si="0">K4/$Q$3</f>
        <v>0.38033090671564079</v>
      </c>
      <c r="M4" s="8">
        <v>0.04</v>
      </c>
      <c r="N4" s="11">
        <f>N3+L4</f>
        <v>0.76266400969384862</v>
      </c>
      <c r="O4" s="17" t="s">
        <v>63</v>
      </c>
    </row>
    <row r="5" spans="1:17" x14ac:dyDescent="0.25">
      <c r="A5">
        <v>37</v>
      </c>
      <c r="B5" s="2" t="s">
        <v>45</v>
      </c>
      <c r="C5">
        <v>8027</v>
      </c>
      <c r="D5">
        <v>6511</v>
      </c>
      <c r="E5">
        <v>7749</v>
      </c>
      <c r="F5">
        <v>7321</v>
      </c>
      <c r="G5">
        <v>7412</v>
      </c>
      <c r="H5">
        <v>6208</v>
      </c>
      <c r="I5">
        <v>5472</v>
      </c>
      <c r="J5">
        <v>5281</v>
      </c>
      <c r="K5">
        <f>SUM(C5:J5)</f>
        <v>53981</v>
      </c>
      <c r="L5" s="7">
        <f t="shared" si="0"/>
        <v>6.3877397428858132E-2</v>
      </c>
      <c r="M5" s="8">
        <v>0.06</v>
      </c>
      <c r="N5" s="12">
        <f t="shared" ref="N5:N51" si="1">N4+L5</f>
        <v>0.82654140712270674</v>
      </c>
      <c r="O5" s="17" t="s">
        <v>63</v>
      </c>
    </row>
    <row r="6" spans="1:17" x14ac:dyDescent="0.25">
      <c r="A6">
        <v>28</v>
      </c>
      <c r="B6" s="2" t="s">
        <v>36</v>
      </c>
      <c r="C6">
        <v>5335</v>
      </c>
      <c r="D6">
        <v>4092</v>
      </c>
      <c r="E6">
        <v>4306</v>
      </c>
      <c r="F6">
        <v>3776</v>
      </c>
      <c r="G6">
        <v>3425</v>
      </c>
      <c r="H6">
        <v>3114</v>
      </c>
      <c r="I6">
        <v>3253</v>
      </c>
      <c r="J6">
        <v>3618</v>
      </c>
      <c r="K6">
        <f>SUM(C6:J6)</f>
        <v>30919</v>
      </c>
      <c r="L6" s="7">
        <f t="shared" si="0"/>
        <v>3.6587415036825263E-2</v>
      </c>
      <c r="M6" s="8">
        <v>0.08</v>
      </c>
      <c r="N6" s="12">
        <f t="shared" si="1"/>
        <v>0.86312882215953202</v>
      </c>
      <c r="O6" s="17" t="s">
        <v>63</v>
      </c>
    </row>
    <row r="7" spans="1:17" x14ac:dyDescent="0.25">
      <c r="A7">
        <v>35</v>
      </c>
      <c r="B7" s="2" t="s">
        <v>43</v>
      </c>
      <c r="C7">
        <v>1978</v>
      </c>
      <c r="D7">
        <v>1621</v>
      </c>
      <c r="E7">
        <v>2017</v>
      </c>
      <c r="F7">
        <v>1800</v>
      </c>
      <c r="G7">
        <v>1864</v>
      </c>
      <c r="H7">
        <v>1790</v>
      </c>
      <c r="I7">
        <v>1387</v>
      </c>
      <c r="J7">
        <v>1376</v>
      </c>
      <c r="K7">
        <f>SUM(C7:J7)</f>
        <v>13833</v>
      </c>
      <c r="L7" s="7">
        <f t="shared" si="0"/>
        <v>1.6369019444497038E-2</v>
      </c>
      <c r="M7" s="8">
        <v>0.1</v>
      </c>
      <c r="N7" s="12">
        <f t="shared" si="1"/>
        <v>0.87949784160402911</v>
      </c>
      <c r="O7" s="18" t="s">
        <v>64</v>
      </c>
    </row>
    <row r="8" spans="1:17" x14ac:dyDescent="0.25">
      <c r="A8">
        <v>43</v>
      </c>
      <c r="B8" s="2" t="s">
        <v>51</v>
      </c>
      <c r="C8">
        <v>1650</v>
      </c>
      <c r="D8">
        <v>1328</v>
      </c>
      <c r="E8">
        <v>1292</v>
      </c>
      <c r="F8">
        <v>1465</v>
      </c>
      <c r="G8">
        <v>1591</v>
      </c>
      <c r="H8">
        <v>1420</v>
      </c>
      <c r="I8">
        <v>1425</v>
      </c>
      <c r="J8">
        <v>1334</v>
      </c>
      <c r="K8">
        <f>SUM(C8:J8)</f>
        <v>11505</v>
      </c>
      <c r="L8" s="7">
        <f t="shared" si="0"/>
        <v>1.3614224586780771E-2</v>
      </c>
      <c r="M8" s="8">
        <v>0.12</v>
      </c>
      <c r="N8" s="12">
        <f t="shared" si="1"/>
        <v>0.89311206619080985</v>
      </c>
      <c r="O8" s="18" t="s">
        <v>64</v>
      </c>
    </row>
    <row r="9" spans="1:17" x14ac:dyDescent="0.25">
      <c r="A9">
        <v>36</v>
      </c>
      <c r="B9" s="2" t="s">
        <v>44</v>
      </c>
      <c r="C9">
        <v>1478</v>
      </c>
      <c r="D9">
        <v>1220</v>
      </c>
      <c r="E9">
        <v>1515</v>
      </c>
      <c r="F9">
        <v>1446</v>
      </c>
      <c r="G9">
        <v>1480</v>
      </c>
      <c r="H9">
        <v>1134</v>
      </c>
      <c r="I9">
        <v>1269</v>
      </c>
      <c r="J9">
        <v>1125</v>
      </c>
      <c r="K9">
        <f>SUM(C9:J9)</f>
        <v>10667</v>
      </c>
      <c r="L9" s="7">
        <f t="shared" si="0"/>
        <v>1.2622593104492872E-2</v>
      </c>
      <c r="M9" s="8">
        <v>0.14000000000000001</v>
      </c>
      <c r="N9" s="12">
        <f t="shared" si="1"/>
        <v>0.90573465929530272</v>
      </c>
      <c r="O9" s="18" t="s">
        <v>64</v>
      </c>
    </row>
    <row r="10" spans="1:17" x14ac:dyDescent="0.25">
      <c r="A10">
        <v>33</v>
      </c>
      <c r="B10" s="2" t="s">
        <v>41</v>
      </c>
      <c r="C10">
        <v>1090</v>
      </c>
      <c r="D10">
        <v>905</v>
      </c>
      <c r="E10">
        <v>1461</v>
      </c>
      <c r="F10">
        <v>1390</v>
      </c>
      <c r="G10">
        <v>1308</v>
      </c>
      <c r="H10">
        <v>1048</v>
      </c>
      <c r="I10">
        <v>803</v>
      </c>
      <c r="J10">
        <v>608</v>
      </c>
      <c r="K10">
        <f>SUM(C10:J10)</f>
        <v>8613</v>
      </c>
      <c r="L10" s="7">
        <f t="shared" si="0"/>
        <v>1.0192030974875513E-2</v>
      </c>
      <c r="M10" s="8">
        <v>0.16</v>
      </c>
      <c r="N10" s="12">
        <f t="shared" si="1"/>
        <v>0.91592669027017826</v>
      </c>
      <c r="O10" s="18" t="s">
        <v>64</v>
      </c>
    </row>
    <row r="11" spans="1:17" x14ac:dyDescent="0.25">
      <c r="A11">
        <v>13</v>
      </c>
      <c r="B11" s="2" t="s">
        <v>21</v>
      </c>
      <c r="C11">
        <v>1376</v>
      </c>
      <c r="D11">
        <v>1259</v>
      </c>
      <c r="E11">
        <v>1099</v>
      </c>
      <c r="F11">
        <v>1011</v>
      </c>
      <c r="G11">
        <v>840</v>
      </c>
      <c r="H11">
        <v>726</v>
      </c>
      <c r="I11">
        <v>784</v>
      </c>
      <c r="J11">
        <v>983</v>
      </c>
      <c r="K11">
        <f>SUM(C11:J11)</f>
        <v>8078</v>
      </c>
      <c r="L11" s="7">
        <f t="shared" si="0"/>
        <v>9.5589488232955301E-3</v>
      </c>
      <c r="M11" s="8">
        <v>0.18</v>
      </c>
      <c r="N11" s="12">
        <f t="shared" si="1"/>
        <v>0.92548563909347381</v>
      </c>
      <c r="O11" s="18" t="s">
        <v>64</v>
      </c>
    </row>
    <row r="12" spans="1:17" x14ac:dyDescent="0.25">
      <c r="A12">
        <v>10</v>
      </c>
      <c r="B12" s="2" t="s">
        <v>18</v>
      </c>
      <c r="C12">
        <v>877</v>
      </c>
      <c r="D12">
        <v>755</v>
      </c>
      <c r="E12">
        <v>915</v>
      </c>
      <c r="F12">
        <v>813</v>
      </c>
      <c r="G12">
        <v>735</v>
      </c>
      <c r="H12">
        <v>727</v>
      </c>
      <c r="I12">
        <v>754</v>
      </c>
      <c r="J12">
        <v>697</v>
      </c>
      <c r="K12">
        <f>SUM(C12:J12)</f>
        <v>6273</v>
      </c>
      <c r="L12" s="7">
        <f t="shared" si="0"/>
        <v>7.4230361436658648E-3</v>
      </c>
      <c r="M12" s="8">
        <v>0.2</v>
      </c>
      <c r="N12" s="12">
        <f t="shared" si="1"/>
        <v>0.93290867523713972</v>
      </c>
      <c r="O12" s="18" t="s">
        <v>64</v>
      </c>
    </row>
    <row r="13" spans="1:17" x14ac:dyDescent="0.25">
      <c r="A13">
        <v>9</v>
      </c>
      <c r="B13" s="2" t="s">
        <v>17</v>
      </c>
      <c r="C13">
        <v>837</v>
      </c>
      <c r="D13">
        <v>717</v>
      </c>
      <c r="E13">
        <v>869</v>
      </c>
      <c r="F13">
        <v>743</v>
      </c>
      <c r="G13">
        <v>818</v>
      </c>
      <c r="H13">
        <v>794</v>
      </c>
      <c r="I13">
        <v>741</v>
      </c>
      <c r="J13">
        <v>396</v>
      </c>
      <c r="K13">
        <f>SUM(C13:J13)</f>
        <v>5915</v>
      </c>
      <c r="L13" s="7">
        <f t="shared" si="0"/>
        <v>6.9994036011132776E-3</v>
      </c>
      <c r="M13" s="9">
        <v>0.22</v>
      </c>
      <c r="N13" s="12">
        <f t="shared" si="1"/>
        <v>0.939908078838253</v>
      </c>
      <c r="O13" s="18" t="s">
        <v>64</v>
      </c>
    </row>
    <row r="14" spans="1:17" x14ac:dyDescent="0.25">
      <c r="A14">
        <v>34</v>
      </c>
      <c r="B14" s="2" t="s">
        <v>42</v>
      </c>
      <c r="C14">
        <v>699</v>
      </c>
      <c r="D14">
        <v>507</v>
      </c>
      <c r="E14">
        <v>954</v>
      </c>
      <c r="F14">
        <v>871</v>
      </c>
      <c r="G14">
        <v>859</v>
      </c>
      <c r="H14">
        <v>675</v>
      </c>
      <c r="I14">
        <v>555</v>
      </c>
      <c r="J14">
        <v>526</v>
      </c>
      <c r="K14">
        <f>SUM(C14:J14)</f>
        <v>5646</v>
      </c>
      <c r="L14" s="7">
        <f t="shared" si="0"/>
        <v>6.6810875286366133E-3</v>
      </c>
      <c r="M14" s="9">
        <v>0.24</v>
      </c>
      <c r="N14" s="12">
        <f t="shared" si="1"/>
        <v>0.94658916636688961</v>
      </c>
      <c r="O14" s="18" t="s">
        <v>64</v>
      </c>
    </row>
    <row r="15" spans="1:17" x14ac:dyDescent="0.25">
      <c r="A15">
        <v>39</v>
      </c>
      <c r="B15" s="2" t="s">
        <v>47</v>
      </c>
      <c r="C15">
        <v>746</v>
      </c>
      <c r="D15">
        <v>617</v>
      </c>
      <c r="E15">
        <v>724</v>
      </c>
      <c r="F15">
        <v>673</v>
      </c>
      <c r="G15">
        <v>658</v>
      </c>
      <c r="H15">
        <v>623</v>
      </c>
      <c r="I15">
        <v>543</v>
      </c>
      <c r="J15">
        <v>605</v>
      </c>
      <c r="K15">
        <f>SUM(C15:J15)</f>
        <v>5189</v>
      </c>
      <c r="L15" s="7">
        <f t="shared" si="0"/>
        <v>6.1403052047636179E-3</v>
      </c>
      <c r="M15" s="9">
        <v>0.26</v>
      </c>
      <c r="N15" s="13">
        <f t="shared" si="1"/>
        <v>0.95272947157165322</v>
      </c>
      <c r="O15" s="18" t="s">
        <v>64</v>
      </c>
    </row>
    <row r="16" spans="1:17" x14ac:dyDescent="0.25">
      <c r="A16">
        <v>24</v>
      </c>
      <c r="B16" s="2" t="s">
        <v>32</v>
      </c>
      <c r="C16">
        <v>761</v>
      </c>
      <c r="D16">
        <v>670</v>
      </c>
      <c r="E16">
        <v>627</v>
      </c>
      <c r="F16">
        <v>502</v>
      </c>
      <c r="G16">
        <v>537</v>
      </c>
      <c r="H16">
        <v>503</v>
      </c>
      <c r="I16">
        <v>483</v>
      </c>
      <c r="J16">
        <v>471</v>
      </c>
      <c r="K16">
        <f>SUM(C16:J16)</f>
        <v>4554</v>
      </c>
      <c r="L16" s="7">
        <f t="shared" si="0"/>
        <v>5.3888899407387777E-3</v>
      </c>
      <c r="M16" s="9">
        <v>0.28000000000000003</v>
      </c>
      <c r="N16" s="13">
        <f t="shared" si="1"/>
        <v>0.95811836151239205</v>
      </c>
      <c r="O16" s="18" t="s">
        <v>64</v>
      </c>
    </row>
    <row r="17" spans="1:15" x14ac:dyDescent="0.25">
      <c r="A17">
        <v>27</v>
      </c>
      <c r="B17" s="2" t="s">
        <v>35</v>
      </c>
      <c r="C17">
        <v>670</v>
      </c>
      <c r="D17">
        <v>567</v>
      </c>
      <c r="E17">
        <v>689</v>
      </c>
      <c r="F17">
        <v>608</v>
      </c>
      <c r="G17">
        <v>556</v>
      </c>
      <c r="H17">
        <v>471</v>
      </c>
      <c r="I17">
        <v>491</v>
      </c>
      <c r="J17">
        <v>494</v>
      </c>
      <c r="K17">
        <f>SUM(C17:J17)</f>
        <v>4546</v>
      </c>
      <c r="L17" s="7">
        <f t="shared" si="0"/>
        <v>5.379423291743189E-3</v>
      </c>
      <c r="M17" s="9">
        <v>0.3</v>
      </c>
      <c r="N17" s="13">
        <f t="shared" si="1"/>
        <v>0.96349778480413528</v>
      </c>
      <c r="O17" s="18" t="s">
        <v>64</v>
      </c>
    </row>
    <row r="18" spans="1:15" x14ac:dyDescent="0.25">
      <c r="A18">
        <v>26</v>
      </c>
      <c r="B18" s="2" t="s">
        <v>34</v>
      </c>
      <c r="C18">
        <v>766</v>
      </c>
      <c r="D18">
        <v>550</v>
      </c>
      <c r="E18">
        <v>679</v>
      </c>
      <c r="F18">
        <v>570</v>
      </c>
      <c r="G18">
        <v>491</v>
      </c>
      <c r="H18">
        <v>401</v>
      </c>
      <c r="I18">
        <v>414</v>
      </c>
      <c r="J18">
        <v>479</v>
      </c>
      <c r="K18">
        <f>SUM(C18:J18)</f>
        <v>4350</v>
      </c>
      <c r="L18" s="7">
        <f t="shared" si="0"/>
        <v>5.1474903913512693E-3</v>
      </c>
      <c r="M18" s="9">
        <v>0.32</v>
      </c>
      <c r="N18" s="13">
        <f t="shared" si="1"/>
        <v>0.9686452751954866</v>
      </c>
      <c r="O18" s="18" t="s">
        <v>64</v>
      </c>
    </row>
    <row r="19" spans="1:15" x14ac:dyDescent="0.25">
      <c r="A19">
        <v>18</v>
      </c>
      <c r="B19" s="2" t="s">
        <v>26</v>
      </c>
      <c r="C19">
        <v>491</v>
      </c>
      <c r="D19">
        <v>442</v>
      </c>
      <c r="E19">
        <v>383</v>
      </c>
      <c r="F19">
        <v>317</v>
      </c>
      <c r="G19">
        <v>310</v>
      </c>
      <c r="H19">
        <v>421</v>
      </c>
      <c r="I19">
        <v>429</v>
      </c>
      <c r="J19">
        <v>379</v>
      </c>
      <c r="K19">
        <f>SUM(C19:J19)</f>
        <v>3172</v>
      </c>
      <c r="L19" s="7">
        <f t="shared" si="0"/>
        <v>3.7535263267508569E-3</v>
      </c>
      <c r="M19" s="9">
        <v>0.34</v>
      </c>
      <c r="N19" s="13">
        <f t="shared" si="1"/>
        <v>0.97239880152223745</v>
      </c>
      <c r="O19" s="18" t="s">
        <v>64</v>
      </c>
    </row>
    <row r="20" spans="1:15" x14ac:dyDescent="0.25">
      <c r="A20">
        <v>23</v>
      </c>
      <c r="B20" s="2" t="s">
        <v>31</v>
      </c>
      <c r="C20">
        <v>260</v>
      </c>
      <c r="D20">
        <v>250</v>
      </c>
      <c r="E20">
        <v>251</v>
      </c>
      <c r="F20">
        <v>278</v>
      </c>
      <c r="G20">
        <v>323</v>
      </c>
      <c r="H20">
        <v>287</v>
      </c>
      <c r="I20">
        <v>299</v>
      </c>
      <c r="J20">
        <v>287</v>
      </c>
      <c r="K20">
        <f>SUM(C20:J20)</f>
        <v>2235</v>
      </c>
      <c r="L20" s="7">
        <f t="shared" si="0"/>
        <v>2.6447450631425489E-3</v>
      </c>
      <c r="M20" s="9">
        <v>0.36</v>
      </c>
      <c r="N20" s="13">
        <f t="shared" si="1"/>
        <v>0.97504354658537995</v>
      </c>
      <c r="O20" s="18" t="s">
        <v>64</v>
      </c>
    </row>
    <row r="21" spans="1:15" x14ac:dyDescent="0.25">
      <c r="A21">
        <v>49</v>
      </c>
      <c r="B21" s="2" t="s">
        <v>57</v>
      </c>
      <c r="C21">
        <v>238</v>
      </c>
      <c r="D21">
        <v>287</v>
      </c>
      <c r="E21">
        <v>307</v>
      </c>
      <c r="F21">
        <v>262</v>
      </c>
      <c r="G21">
        <v>209</v>
      </c>
      <c r="H21">
        <v>241</v>
      </c>
      <c r="I21">
        <v>189</v>
      </c>
      <c r="J21">
        <v>208</v>
      </c>
      <c r="K21">
        <f>SUM(C21:J21)</f>
        <v>1941</v>
      </c>
      <c r="L21" s="7">
        <f t="shared" si="0"/>
        <v>2.2968457125546698E-3</v>
      </c>
      <c r="M21" s="9">
        <v>0.38</v>
      </c>
      <c r="N21" s="13">
        <f t="shared" si="1"/>
        <v>0.97734039229793457</v>
      </c>
      <c r="O21" s="18" t="s">
        <v>64</v>
      </c>
    </row>
    <row r="22" spans="1:15" x14ac:dyDescent="0.25">
      <c r="A22">
        <v>16</v>
      </c>
      <c r="B22" s="2" t="s">
        <v>24</v>
      </c>
      <c r="C22">
        <v>168</v>
      </c>
      <c r="D22">
        <v>223</v>
      </c>
      <c r="E22">
        <v>268</v>
      </c>
      <c r="F22">
        <v>253</v>
      </c>
      <c r="G22">
        <v>264</v>
      </c>
      <c r="H22">
        <v>257</v>
      </c>
      <c r="I22">
        <v>219</v>
      </c>
      <c r="J22">
        <v>195</v>
      </c>
      <c r="K22">
        <f>SUM(C22:J22)</f>
        <v>1847</v>
      </c>
      <c r="L22" s="7">
        <f t="shared" si="0"/>
        <v>2.1856125868565043E-3</v>
      </c>
      <c r="M22" s="9">
        <v>0.4</v>
      </c>
      <c r="N22" s="13">
        <f t="shared" si="1"/>
        <v>0.97952600488479102</v>
      </c>
      <c r="O22" s="18" t="s">
        <v>64</v>
      </c>
    </row>
    <row r="23" spans="1:15" x14ac:dyDescent="0.25">
      <c r="A23">
        <v>14</v>
      </c>
      <c r="B23" s="2" t="s">
        <v>22</v>
      </c>
      <c r="C23">
        <v>223</v>
      </c>
      <c r="D23">
        <v>216</v>
      </c>
      <c r="E23">
        <v>142</v>
      </c>
      <c r="F23">
        <v>178</v>
      </c>
      <c r="G23">
        <v>195</v>
      </c>
      <c r="H23">
        <v>177</v>
      </c>
      <c r="I23">
        <v>263</v>
      </c>
      <c r="J23">
        <v>269</v>
      </c>
      <c r="K23">
        <f>SUM(C23:J23)</f>
        <v>1663</v>
      </c>
      <c r="L23" s="7">
        <f t="shared" si="0"/>
        <v>1.9678796599579681E-3</v>
      </c>
      <c r="M23" s="9">
        <v>0.42</v>
      </c>
      <c r="N23" s="13">
        <f t="shared" si="1"/>
        <v>0.98149388454474895</v>
      </c>
      <c r="O23" s="18" t="s">
        <v>64</v>
      </c>
    </row>
    <row r="24" spans="1:15" x14ac:dyDescent="0.25">
      <c r="A24">
        <v>19</v>
      </c>
      <c r="B24" s="2" t="s">
        <v>27</v>
      </c>
      <c r="C24">
        <v>240</v>
      </c>
      <c r="D24">
        <v>181</v>
      </c>
      <c r="E24">
        <v>177</v>
      </c>
      <c r="F24">
        <v>166</v>
      </c>
      <c r="G24">
        <v>124</v>
      </c>
      <c r="H24">
        <v>155</v>
      </c>
      <c r="I24">
        <v>167</v>
      </c>
      <c r="J24">
        <v>177</v>
      </c>
      <c r="K24">
        <f>SUM(C24:J24)</f>
        <v>1387</v>
      </c>
      <c r="L24" s="7">
        <f t="shared" si="0"/>
        <v>1.6412802696101634E-3</v>
      </c>
      <c r="M24" s="9">
        <v>0.44</v>
      </c>
      <c r="N24" s="13">
        <f t="shared" si="1"/>
        <v>0.98313516481435914</v>
      </c>
      <c r="O24" s="18" t="s">
        <v>64</v>
      </c>
    </row>
    <row r="25" spans="1:15" x14ac:dyDescent="0.25">
      <c r="A25">
        <v>48</v>
      </c>
      <c r="B25" s="2" t="s">
        <v>56</v>
      </c>
      <c r="C25">
        <v>176</v>
      </c>
      <c r="D25">
        <v>159</v>
      </c>
      <c r="E25">
        <v>190</v>
      </c>
      <c r="F25">
        <v>160</v>
      </c>
      <c r="G25">
        <v>139</v>
      </c>
      <c r="H25">
        <v>172</v>
      </c>
      <c r="I25">
        <v>149</v>
      </c>
      <c r="J25">
        <v>202</v>
      </c>
      <c r="K25">
        <f>SUM(C25:J25)</f>
        <v>1347</v>
      </c>
      <c r="L25" s="7">
        <f t="shared" si="0"/>
        <v>1.5939470246322206E-3</v>
      </c>
      <c r="M25" s="9">
        <v>0.46</v>
      </c>
      <c r="N25" s="13">
        <f t="shared" si="1"/>
        <v>0.98472911183899137</v>
      </c>
      <c r="O25" s="18" t="s">
        <v>64</v>
      </c>
    </row>
    <row r="26" spans="1:15" x14ac:dyDescent="0.25">
      <c r="A26">
        <v>41</v>
      </c>
      <c r="B26" s="2" t="s">
        <v>49</v>
      </c>
      <c r="C26">
        <v>172</v>
      </c>
      <c r="D26">
        <v>148</v>
      </c>
      <c r="E26">
        <v>163</v>
      </c>
      <c r="F26">
        <v>115</v>
      </c>
      <c r="G26">
        <v>117</v>
      </c>
      <c r="H26">
        <v>112</v>
      </c>
      <c r="I26">
        <v>110</v>
      </c>
      <c r="J26">
        <v>129</v>
      </c>
      <c r="K26">
        <f>SUM(C26:J26)</f>
        <v>1066</v>
      </c>
      <c r="L26" s="7">
        <f t="shared" si="0"/>
        <v>1.2614309786621732E-3</v>
      </c>
      <c r="M26" s="9">
        <v>0.48</v>
      </c>
      <c r="N26" s="13">
        <f t="shared" si="1"/>
        <v>0.98599054281765353</v>
      </c>
      <c r="O26" s="18" t="s">
        <v>64</v>
      </c>
    </row>
    <row r="27" spans="1:15" x14ac:dyDescent="0.25">
      <c r="A27">
        <v>47</v>
      </c>
      <c r="B27" s="2" t="s">
        <v>55</v>
      </c>
      <c r="C27">
        <v>143</v>
      </c>
      <c r="D27">
        <v>145</v>
      </c>
      <c r="E27">
        <v>126</v>
      </c>
      <c r="F27">
        <v>109</v>
      </c>
      <c r="G27">
        <v>159</v>
      </c>
      <c r="H27">
        <v>98</v>
      </c>
      <c r="I27">
        <v>96</v>
      </c>
      <c r="J27">
        <v>114</v>
      </c>
      <c r="K27">
        <f>SUM(C27:J27)</f>
        <v>990</v>
      </c>
      <c r="L27" s="7">
        <f t="shared" si="0"/>
        <v>1.1714978132040821E-3</v>
      </c>
      <c r="M27" s="9">
        <v>0.5</v>
      </c>
      <c r="N27" s="13">
        <f t="shared" si="1"/>
        <v>0.98716204063085766</v>
      </c>
      <c r="O27" s="18" t="s">
        <v>64</v>
      </c>
    </row>
    <row r="28" spans="1:15" x14ac:dyDescent="0.25">
      <c r="A28">
        <v>11</v>
      </c>
      <c r="B28" s="2" t="s">
        <v>19</v>
      </c>
      <c r="C28">
        <v>117</v>
      </c>
      <c r="D28">
        <v>109</v>
      </c>
      <c r="E28">
        <v>133</v>
      </c>
      <c r="F28">
        <v>133</v>
      </c>
      <c r="G28">
        <v>124</v>
      </c>
      <c r="H28">
        <v>122</v>
      </c>
      <c r="I28">
        <v>115</v>
      </c>
      <c r="J28">
        <v>124</v>
      </c>
      <c r="K28">
        <f>SUM(C28:J28)</f>
        <v>977</v>
      </c>
      <c r="L28" s="7">
        <f t="shared" si="0"/>
        <v>1.1561145085862506E-3</v>
      </c>
      <c r="M28" s="10">
        <v>0.52</v>
      </c>
      <c r="N28" s="13">
        <f t="shared" si="1"/>
        <v>0.98831815513944388</v>
      </c>
      <c r="O28" s="18" t="s">
        <v>64</v>
      </c>
    </row>
    <row r="29" spans="1:15" x14ac:dyDescent="0.25">
      <c r="A29">
        <v>44</v>
      </c>
      <c r="B29" s="2" t="s">
        <v>52</v>
      </c>
      <c r="C29">
        <v>148</v>
      </c>
      <c r="D29">
        <v>95</v>
      </c>
      <c r="E29">
        <v>133</v>
      </c>
      <c r="F29">
        <v>109</v>
      </c>
      <c r="G29">
        <v>111</v>
      </c>
      <c r="H29">
        <v>107</v>
      </c>
      <c r="I29">
        <v>104</v>
      </c>
      <c r="J29">
        <v>95</v>
      </c>
      <c r="K29">
        <f>SUM(C29:J29)</f>
        <v>902</v>
      </c>
      <c r="L29" s="7">
        <f t="shared" si="0"/>
        <v>1.0673646742526081E-3</v>
      </c>
      <c r="M29" s="10">
        <v>0.54</v>
      </c>
      <c r="N29" s="13">
        <f t="shared" si="1"/>
        <v>0.98938551981369649</v>
      </c>
      <c r="O29" s="18" t="s">
        <v>64</v>
      </c>
    </row>
    <row r="30" spans="1:15" x14ac:dyDescent="0.25">
      <c r="A30">
        <v>25</v>
      </c>
      <c r="B30" s="2" t="s">
        <v>33</v>
      </c>
      <c r="C30">
        <v>112</v>
      </c>
      <c r="D30">
        <v>114</v>
      </c>
      <c r="E30">
        <v>134</v>
      </c>
      <c r="F30">
        <v>129</v>
      </c>
      <c r="G30">
        <v>101</v>
      </c>
      <c r="H30">
        <v>107</v>
      </c>
      <c r="I30">
        <v>83</v>
      </c>
      <c r="J30">
        <v>92</v>
      </c>
      <c r="K30">
        <f>SUM(C30:J30)</f>
        <v>872</v>
      </c>
      <c r="L30" s="7">
        <f t="shared" si="0"/>
        <v>1.0318647405191509E-3</v>
      </c>
      <c r="M30" s="10">
        <v>0.56000000000000005</v>
      </c>
      <c r="N30" s="13">
        <f t="shared" si="1"/>
        <v>0.99041738455421569</v>
      </c>
      <c r="O30" s="18" t="s">
        <v>64</v>
      </c>
    </row>
    <row r="31" spans="1:15" x14ac:dyDescent="0.25">
      <c r="A31">
        <v>21</v>
      </c>
      <c r="B31" s="2" t="s">
        <v>29</v>
      </c>
      <c r="C31">
        <v>90</v>
      </c>
      <c r="D31">
        <v>75</v>
      </c>
      <c r="E31">
        <v>107</v>
      </c>
      <c r="F31">
        <v>115</v>
      </c>
      <c r="G31">
        <v>95</v>
      </c>
      <c r="H31">
        <v>98</v>
      </c>
      <c r="I31">
        <v>72</v>
      </c>
      <c r="J31">
        <v>69</v>
      </c>
      <c r="K31">
        <f>SUM(C31:J31)</f>
        <v>721</v>
      </c>
      <c r="L31" s="7">
        <f t="shared" si="0"/>
        <v>8.5318174072741729E-4</v>
      </c>
      <c r="M31" s="10">
        <v>0.57999999999999996</v>
      </c>
      <c r="N31" s="13">
        <f t="shared" si="1"/>
        <v>0.99127056629494315</v>
      </c>
      <c r="O31" s="18" t="s">
        <v>64</v>
      </c>
    </row>
    <row r="32" spans="1:15" x14ac:dyDescent="0.25">
      <c r="A32">
        <v>15</v>
      </c>
      <c r="B32" s="2" t="s">
        <v>23</v>
      </c>
      <c r="C32">
        <v>0</v>
      </c>
      <c r="D32">
        <v>0</v>
      </c>
      <c r="E32">
        <v>0</v>
      </c>
      <c r="F32">
        <v>0</v>
      </c>
      <c r="G32">
        <v>121</v>
      </c>
      <c r="H32">
        <v>214</v>
      </c>
      <c r="I32">
        <v>196</v>
      </c>
      <c r="J32">
        <v>171</v>
      </c>
      <c r="K32">
        <f>SUM(C32:J32)</f>
        <v>702</v>
      </c>
      <c r="L32" s="7">
        <f t="shared" si="0"/>
        <v>8.3069844936289449E-4</v>
      </c>
      <c r="M32" s="10">
        <v>0.6</v>
      </c>
      <c r="N32" s="13">
        <f t="shared" si="1"/>
        <v>0.99210126474430604</v>
      </c>
      <c r="O32" s="18" t="s">
        <v>64</v>
      </c>
    </row>
    <row r="33" spans="1:15" x14ac:dyDescent="0.25">
      <c r="A33">
        <v>8</v>
      </c>
      <c r="B33" s="2" t="s">
        <v>16</v>
      </c>
      <c r="C33">
        <v>80</v>
      </c>
      <c r="D33">
        <v>96</v>
      </c>
      <c r="E33">
        <v>106</v>
      </c>
      <c r="F33">
        <v>82</v>
      </c>
      <c r="G33">
        <v>64</v>
      </c>
      <c r="H33">
        <v>65</v>
      </c>
      <c r="I33">
        <v>51</v>
      </c>
      <c r="J33">
        <v>66</v>
      </c>
      <c r="K33">
        <f>SUM(C33:J33)</f>
        <v>610</v>
      </c>
      <c r="L33" s="7">
        <f t="shared" si="0"/>
        <v>7.2183198591362627E-4</v>
      </c>
      <c r="M33" s="10">
        <v>0.62</v>
      </c>
      <c r="N33" s="13">
        <f t="shared" si="1"/>
        <v>0.99282309673021962</v>
      </c>
      <c r="O33" s="18" t="s">
        <v>64</v>
      </c>
    </row>
    <row r="34" spans="1:15" x14ac:dyDescent="0.25">
      <c r="A34">
        <v>5</v>
      </c>
      <c r="B34" s="2" t="s">
        <v>13</v>
      </c>
      <c r="C34">
        <v>86</v>
      </c>
      <c r="D34">
        <v>47</v>
      </c>
      <c r="E34">
        <v>36</v>
      </c>
      <c r="F34">
        <v>17</v>
      </c>
      <c r="G34">
        <v>78</v>
      </c>
      <c r="H34">
        <v>122</v>
      </c>
      <c r="I34">
        <v>96</v>
      </c>
      <c r="J34">
        <v>89</v>
      </c>
      <c r="K34">
        <f>SUM(C34:J34)</f>
        <v>571</v>
      </c>
      <c r="L34" s="7">
        <f t="shared" si="0"/>
        <v>6.7568207206013221E-4</v>
      </c>
      <c r="M34" s="10">
        <v>0.64</v>
      </c>
      <c r="N34" s="13">
        <f t="shared" si="1"/>
        <v>0.99349877880227977</v>
      </c>
      <c r="O34" s="19" t="s">
        <v>65</v>
      </c>
    </row>
    <row r="35" spans="1:15" x14ac:dyDescent="0.25">
      <c r="A35">
        <v>2</v>
      </c>
      <c r="B35" s="2" t="s">
        <v>10</v>
      </c>
      <c r="C35">
        <v>59</v>
      </c>
      <c r="D35">
        <v>57</v>
      </c>
      <c r="E35">
        <v>85</v>
      </c>
      <c r="F35">
        <v>77</v>
      </c>
      <c r="G35">
        <v>81</v>
      </c>
      <c r="H35">
        <v>73</v>
      </c>
      <c r="I35">
        <v>55</v>
      </c>
      <c r="J35">
        <v>72</v>
      </c>
      <c r="K35">
        <f>SUM(C35:J35)</f>
        <v>559</v>
      </c>
      <c r="L35" s="7">
        <f t="shared" si="0"/>
        <v>6.6148209856674929E-4</v>
      </c>
      <c r="M35" s="10">
        <v>0.66</v>
      </c>
      <c r="N35" s="13">
        <f t="shared" si="1"/>
        <v>0.99416026090084653</v>
      </c>
      <c r="O35" s="19" t="s">
        <v>65</v>
      </c>
    </row>
    <row r="36" spans="1:15" x14ac:dyDescent="0.25">
      <c r="A36">
        <v>31</v>
      </c>
      <c r="B36" s="2" t="s">
        <v>39</v>
      </c>
      <c r="C36">
        <v>81</v>
      </c>
      <c r="D36">
        <v>81</v>
      </c>
      <c r="E36">
        <v>85</v>
      </c>
      <c r="F36">
        <v>71</v>
      </c>
      <c r="G36">
        <v>61</v>
      </c>
      <c r="H36">
        <v>53</v>
      </c>
      <c r="I36">
        <v>65</v>
      </c>
      <c r="J36">
        <v>51</v>
      </c>
      <c r="K36">
        <f>SUM(C36:J36)</f>
        <v>548</v>
      </c>
      <c r="L36" s="7">
        <f t="shared" si="0"/>
        <v>6.4846545619781507E-4</v>
      </c>
      <c r="M36" s="10">
        <v>0.68</v>
      </c>
      <c r="N36" s="13">
        <f t="shared" si="1"/>
        <v>0.99480872635704432</v>
      </c>
      <c r="O36" s="19" t="s">
        <v>65</v>
      </c>
    </row>
    <row r="37" spans="1:15" x14ac:dyDescent="0.25">
      <c r="A37">
        <v>42</v>
      </c>
      <c r="B37" s="2" t="s">
        <v>50</v>
      </c>
      <c r="C37">
        <v>72</v>
      </c>
      <c r="D37">
        <v>70</v>
      </c>
      <c r="E37">
        <v>64</v>
      </c>
      <c r="F37">
        <v>81</v>
      </c>
      <c r="G37">
        <v>63</v>
      </c>
      <c r="H37">
        <v>60</v>
      </c>
      <c r="I37">
        <v>58</v>
      </c>
      <c r="J37">
        <v>62</v>
      </c>
      <c r="K37">
        <f>SUM(C37:J37)</f>
        <v>530</v>
      </c>
      <c r="L37" s="7">
        <f t="shared" si="0"/>
        <v>6.2716549595774086E-4</v>
      </c>
      <c r="M37" s="10">
        <v>0.70000000000000007</v>
      </c>
      <c r="N37" s="13">
        <f t="shared" si="1"/>
        <v>0.99543589185300208</v>
      </c>
      <c r="O37" s="19" t="s">
        <v>65</v>
      </c>
    </row>
    <row r="38" spans="1:15" x14ac:dyDescent="0.25">
      <c r="A38">
        <v>6</v>
      </c>
      <c r="B38" s="2" t="s">
        <v>14</v>
      </c>
      <c r="C38">
        <v>85</v>
      </c>
      <c r="D38">
        <v>51</v>
      </c>
      <c r="E38">
        <v>32</v>
      </c>
      <c r="F38">
        <v>28</v>
      </c>
      <c r="G38">
        <v>48</v>
      </c>
      <c r="H38">
        <v>84</v>
      </c>
      <c r="I38">
        <v>86</v>
      </c>
      <c r="J38">
        <v>77</v>
      </c>
      <c r="K38">
        <f>SUM(C38:J38)</f>
        <v>491</v>
      </c>
      <c r="L38" s="7">
        <f t="shared" si="0"/>
        <v>5.8101558210424669E-4</v>
      </c>
      <c r="M38" s="10">
        <v>0.72</v>
      </c>
      <c r="N38" s="13">
        <f t="shared" si="1"/>
        <v>0.99601690743510629</v>
      </c>
      <c r="O38" s="19" t="s">
        <v>65</v>
      </c>
    </row>
    <row r="39" spans="1:15" x14ac:dyDescent="0.25">
      <c r="A39">
        <v>30</v>
      </c>
      <c r="B39" s="2" t="s">
        <v>38</v>
      </c>
      <c r="C39">
        <v>80</v>
      </c>
      <c r="D39">
        <v>66</v>
      </c>
      <c r="E39">
        <v>62</v>
      </c>
      <c r="F39">
        <v>66</v>
      </c>
      <c r="G39">
        <v>51</v>
      </c>
      <c r="H39">
        <v>45</v>
      </c>
      <c r="I39">
        <v>50</v>
      </c>
      <c r="J39">
        <v>33</v>
      </c>
      <c r="K39">
        <f>SUM(C39:J39)</f>
        <v>453</v>
      </c>
      <c r="L39" s="7">
        <f t="shared" si="0"/>
        <v>5.3604899937520121E-4</v>
      </c>
      <c r="M39" s="10">
        <v>0.74</v>
      </c>
      <c r="N39" s="13">
        <f t="shared" si="1"/>
        <v>0.9965529564344815</v>
      </c>
      <c r="O39" s="19" t="s">
        <v>65</v>
      </c>
    </row>
    <row r="40" spans="1:15" x14ac:dyDescent="0.25">
      <c r="A40">
        <v>40</v>
      </c>
      <c r="B40" s="2" t="s">
        <v>48</v>
      </c>
      <c r="C40">
        <v>67</v>
      </c>
      <c r="D40">
        <v>54</v>
      </c>
      <c r="E40">
        <v>65</v>
      </c>
      <c r="F40">
        <v>53</v>
      </c>
      <c r="G40">
        <v>43</v>
      </c>
      <c r="H40">
        <v>47</v>
      </c>
      <c r="I40">
        <v>53</v>
      </c>
      <c r="J40">
        <v>57</v>
      </c>
      <c r="K40">
        <f>SUM(C40:J40)</f>
        <v>439</v>
      </c>
      <c r="L40" s="7">
        <f t="shared" si="0"/>
        <v>5.1948236363292123E-4</v>
      </c>
      <c r="M40" s="10">
        <v>0.76</v>
      </c>
      <c r="N40" s="13">
        <f t="shared" si="1"/>
        <v>0.99707243879811447</v>
      </c>
      <c r="O40" s="19" t="s">
        <v>65</v>
      </c>
    </row>
    <row r="41" spans="1:15" x14ac:dyDescent="0.25">
      <c r="A41">
        <v>32</v>
      </c>
      <c r="B41" t="s">
        <v>40</v>
      </c>
      <c r="C41">
        <v>52</v>
      </c>
      <c r="D41">
        <v>58</v>
      </c>
      <c r="E41">
        <v>49</v>
      </c>
      <c r="F41">
        <v>62</v>
      </c>
      <c r="G41">
        <v>46</v>
      </c>
      <c r="H41">
        <v>38</v>
      </c>
      <c r="I41">
        <v>46</v>
      </c>
      <c r="J41">
        <v>50</v>
      </c>
      <c r="K41">
        <f>SUM(C41:J41)</f>
        <v>401</v>
      </c>
      <c r="L41" s="7">
        <f t="shared" si="0"/>
        <v>4.7451578090387564E-4</v>
      </c>
      <c r="M41" s="10">
        <v>0.78</v>
      </c>
      <c r="N41" s="13">
        <f t="shared" si="1"/>
        <v>0.99754695457901832</v>
      </c>
      <c r="O41" s="19" t="s">
        <v>65</v>
      </c>
    </row>
    <row r="42" spans="1:15" x14ac:dyDescent="0.25">
      <c r="A42">
        <v>22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67</v>
      </c>
      <c r="H42">
        <v>112</v>
      </c>
      <c r="I42">
        <v>118</v>
      </c>
      <c r="J42">
        <v>97</v>
      </c>
      <c r="K42">
        <f>SUM(C42:J42)</f>
        <v>394</v>
      </c>
      <c r="L42" s="7">
        <f t="shared" si="0"/>
        <v>4.6623246303273565E-4</v>
      </c>
      <c r="M42" s="10">
        <v>0.8</v>
      </c>
      <c r="N42" s="13">
        <f t="shared" si="1"/>
        <v>0.99801318704205111</v>
      </c>
      <c r="O42" s="19" t="s">
        <v>65</v>
      </c>
    </row>
    <row r="43" spans="1:15" x14ac:dyDescent="0.25">
      <c r="A43">
        <v>3</v>
      </c>
      <c r="B43" s="2" t="s">
        <v>11</v>
      </c>
      <c r="C43">
        <v>36</v>
      </c>
      <c r="D43">
        <v>41</v>
      </c>
      <c r="E43">
        <v>39</v>
      </c>
      <c r="F43">
        <v>20</v>
      </c>
      <c r="G43">
        <v>28</v>
      </c>
      <c r="H43">
        <v>55</v>
      </c>
      <c r="I43">
        <v>40</v>
      </c>
      <c r="J43">
        <v>43</v>
      </c>
      <c r="K43">
        <f>SUM(C43:J43)</f>
        <v>302</v>
      </c>
      <c r="L43" s="7">
        <f t="shared" si="0"/>
        <v>3.5736599958346744E-4</v>
      </c>
      <c r="M43" s="10">
        <v>0.82000000000000006</v>
      </c>
      <c r="N43" s="13">
        <f t="shared" si="1"/>
        <v>0.99837055304163458</v>
      </c>
      <c r="O43" s="19" t="s">
        <v>65</v>
      </c>
    </row>
    <row r="44" spans="1:15" x14ac:dyDescent="0.25">
      <c r="A44">
        <v>38</v>
      </c>
      <c r="B44" s="2" t="s">
        <v>46</v>
      </c>
      <c r="C44">
        <v>25</v>
      </c>
      <c r="D44">
        <v>40</v>
      </c>
      <c r="E44">
        <v>46</v>
      </c>
      <c r="F44">
        <v>25</v>
      </c>
      <c r="G44">
        <v>26</v>
      </c>
      <c r="H44">
        <v>23</v>
      </c>
      <c r="I44">
        <v>17</v>
      </c>
      <c r="J44">
        <v>26</v>
      </c>
      <c r="K44">
        <f>SUM(C44:J44)</f>
        <v>228</v>
      </c>
      <c r="L44" s="7">
        <f t="shared" si="0"/>
        <v>2.6979949637427343E-4</v>
      </c>
      <c r="M44" s="10">
        <v>0.84</v>
      </c>
      <c r="N44" s="13">
        <f t="shared" si="1"/>
        <v>0.99864035253800887</v>
      </c>
      <c r="O44" s="19" t="s">
        <v>65</v>
      </c>
    </row>
    <row r="45" spans="1:15" x14ac:dyDescent="0.25">
      <c r="A45">
        <v>4</v>
      </c>
      <c r="B45" s="2" t="s">
        <v>12</v>
      </c>
      <c r="C45">
        <v>33</v>
      </c>
      <c r="D45">
        <v>31</v>
      </c>
      <c r="E45">
        <v>34</v>
      </c>
      <c r="F45">
        <v>12</v>
      </c>
      <c r="G45">
        <v>34</v>
      </c>
      <c r="H45">
        <v>23</v>
      </c>
      <c r="I45">
        <v>21</v>
      </c>
      <c r="J45">
        <v>28</v>
      </c>
      <c r="K45">
        <f>SUM(C45:J45)</f>
        <v>216</v>
      </c>
      <c r="L45" s="7">
        <f t="shared" si="0"/>
        <v>2.5559952288089062E-4</v>
      </c>
      <c r="M45" s="10">
        <v>0.86</v>
      </c>
      <c r="N45" s="13">
        <f t="shared" si="1"/>
        <v>0.99889595206088977</v>
      </c>
      <c r="O45" s="19" t="s">
        <v>65</v>
      </c>
    </row>
    <row r="46" spans="1:15" x14ac:dyDescent="0.25">
      <c r="A46">
        <v>12</v>
      </c>
      <c r="B46" s="2" t="s">
        <v>20</v>
      </c>
      <c r="C46">
        <v>20</v>
      </c>
      <c r="D46">
        <v>28</v>
      </c>
      <c r="E46">
        <v>40</v>
      </c>
      <c r="F46">
        <v>23</v>
      </c>
      <c r="G46">
        <v>21</v>
      </c>
      <c r="H46">
        <v>30</v>
      </c>
      <c r="I46">
        <v>21</v>
      </c>
      <c r="J46">
        <v>32</v>
      </c>
      <c r="K46">
        <f>SUM(C46:J46)</f>
        <v>215</v>
      </c>
      <c r="L46" s="7">
        <f t="shared" si="0"/>
        <v>2.5441619175644204E-4</v>
      </c>
      <c r="M46" s="10">
        <v>0.88</v>
      </c>
      <c r="N46" s="13">
        <f t="shared" si="1"/>
        <v>0.99915036825264625</v>
      </c>
      <c r="O46" s="19" t="s">
        <v>65</v>
      </c>
    </row>
    <row r="47" spans="1:15" x14ac:dyDescent="0.25">
      <c r="A47">
        <v>50</v>
      </c>
      <c r="B47" s="2" t="s">
        <v>58</v>
      </c>
      <c r="C47">
        <v>25</v>
      </c>
      <c r="D47">
        <v>34</v>
      </c>
      <c r="E47">
        <v>36</v>
      </c>
      <c r="F47">
        <v>32</v>
      </c>
      <c r="G47">
        <v>19</v>
      </c>
      <c r="H47">
        <v>27</v>
      </c>
      <c r="I47">
        <v>16</v>
      </c>
      <c r="J47">
        <v>20</v>
      </c>
      <c r="K47">
        <f>SUM(C47:J47)</f>
        <v>209</v>
      </c>
      <c r="L47" s="7">
        <f t="shared" si="0"/>
        <v>2.4731620500975063E-4</v>
      </c>
      <c r="M47" s="10">
        <v>0.9</v>
      </c>
      <c r="N47" s="13">
        <f t="shared" si="1"/>
        <v>0.99939768445765598</v>
      </c>
      <c r="O47" s="19" t="s">
        <v>65</v>
      </c>
    </row>
    <row r="48" spans="1:15" x14ac:dyDescent="0.25">
      <c r="A48">
        <v>7</v>
      </c>
      <c r="B48" s="2" t="s">
        <v>15</v>
      </c>
      <c r="C48">
        <v>22</v>
      </c>
      <c r="D48">
        <v>20</v>
      </c>
      <c r="E48">
        <v>29</v>
      </c>
      <c r="F48">
        <v>28</v>
      </c>
      <c r="G48">
        <v>22</v>
      </c>
      <c r="H48">
        <v>26</v>
      </c>
      <c r="I48">
        <v>22</v>
      </c>
      <c r="J48">
        <v>31</v>
      </c>
      <c r="K48">
        <f>SUM(C48:J48)</f>
        <v>200</v>
      </c>
      <c r="L48" s="7">
        <f t="shared" si="0"/>
        <v>2.3666622488971353E-4</v>
      </c>
      <c r="M48" s="10">
        <v>0.92</v>
      </c>
      <c r="N48" s="13">
        <f t="shared" si="1"/>
        <v>0.99963435068254569</v>
      </c>
      <c r="O48" s="19" t="s">
        <v>65</v>
      </c>
    </row>
    <row r="49" spans="1:15" x14ac:dyDescent="0.25">
      <c r="A49">
        <v>29</v>
      </c>
      <c r="B49" s="2" t="s">
        <v>37</v>
      </c>
      <c r="C49">
        <v>16</v>
      </c>
      <c r="D49">
        <v>25</v>
      </c>
      <c r="E49">
        <v>31</v>
      </c>
      <c r="F49">
        <v>12</v>
      </c>
      <c r="G49">
        <v>8</v>
      </c>
      <c r="H49">
        <v>19</v>
      </c>
      <c r="I49">
        <v>10</v>
      </c>
      <c r="J49">
        <v>13</v>
      </c>
      <c r="K49">
        <f>SUM(C49:J49)</f>
        <v>134</v>
      </c>
      <c r="L49" s="7">
        <f t="shared" si="0"/>
        <v>1.5856637067610807E-4</v>
      </c>
      <c r="M49" s="10">
        <v>0.94000000000000006</v>
      </c>
      <c r="N49" s="13">
        <f t="shared" si="1"/>
        <v>0.99979291705322182</v>
      </c>
      <c r="O49" s="19" t="s">
        <v>65</v>
      </c>
    </row>
    <row r="50" spans="1:15" x14ac:dyDescent="0.25">
      <c r="A50">
        <v>45</v>
      </c>
      <c r="B50" s="2" t="s">
        <v>53</v>
      </c>
      <c r="C50">
        <v>17</v>
      </c>
      <c r="D50">
        <v>20</v>
      </c>
      <c r="E50">
        <v>23</v>
      </c>
      <c r="F50">
        <v>12</v>
      </c>
      <c r="G50">
        <v>13</v>
      </c>
      <c r="H50">
        <v>18</v>
      </c>
      <c r="I50">
        <v>11</v>
      </c>
      <c r="J50">
        <v>17</v>
      </c>
      <c r="K50">
        <f>SUM(C50:J50)</f>
        <v>131</v>
      </c>
      <c r="L50" s="7">
        <f t="shared" si="0"/>
        <v>1.5501637730276236E-4</v>
      </c>
      <c r="M50" s="10">
        <v>0.96</v>
      </c>
      <c r="N50" s="13">
        <f t="shared" si="1"/>
        <v>0.99994793343052457</v>
      </c>
      <c r="O50" s="19" t="s">
        <v>65</v>
      </c>
    </row>
    <row r="51" spans="1:15" x14ac:dyDescent="0.25">
      <c r="A51">
        <v>20</v>
      </c>
      <c r="B51" s="2" t="s">
        <v>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29</v>
      </c>
      <c r="J51">
        <v>15</v>
      </c>
      <c r="K51">
        <f>SUM(C51:J51)</f>
        <v>44</v>
      </c>
      <c r="L51" s="7">
        <f t="shared" si="0"/>
        <v>5.2066569475736979E-5</v>
      </c>
      <c r="M51" s="10">
        <v>0.98</v>
      </c>
      <c r="N51" s="13">
        <f t="shared" si="1"/>
        <v>1.0000000000000002</v>
      </c>
      <c r="O51" s="19" t="s">
        <v>65</v>
      </c>
    </row>
    <row r="52" spans="1:15" x14ac:dyDescent="0.25">
      <c r="A52" s="3"/>
      <c r="B52" s="3"/>
    </row>
  </sheetData>
  <sortState xmlns:xlrd2="http://schemas.microsoft.com/office/spreadsheetml/2017/richdata2" ref="A2:K51">
    <sortCondition descending="1" ref="K3:K51"/>
  </sortState>
  <hyperlinks>
    <hyperlink ref="B35" r:id="rId1" display="https://www.softportal.com/software-34301-true-burner.html" xr:uid="{00000000-0004-0000-0000-000000000000}"/>
    <hyperlink ref="B43" r:id="rId2" display="https://www.softportal.com/software-37928-soft4boost-dvd-creator.html" xr:uid="{00000000-0004-0000-0000-000001000000}"/>
    <hyperlink ref="B45" r:id="rId3" display="https://www.softportal.com/software-34933-soft4boost-disc-cover-studio.html" xr:uid="{00000000-0004-0000-0000-000002000000}"/>
    <hyperlink ref="B34" r:id="rId4" display="https://www.softportal.com/software-33810-soft4boost-burning-studio.html" xr:uid="{00000000-0004-0000-0000-000003000000}"/>
    <hyperlink ref="B38" r:id="rId5" display="https://www.softportal.com/software-31826-soft4boost-easy-disc-burner.html" xr:uid="{00000000-0004-0000-0000-000004000000}"/>
    <hyperlink ref="B48" r:id="rId6" display="https://www.softportal.com/software-31825-soft4boost-dvd-cloner.html" xr:uid="{00000000-0004-0000-0000-000005000000}"/>
    <hyperlink ref="B33" r:id="rId7" display="https://www.softportal.com/software-4110-dvdfab.html" xr:uid="{00000000-0004-0000-0000-000006000000}"/>
    <hyperlink ref="B13" r:id="rId8" display="https://www.softportal.com/software-8256-burnaware-free.html" xr:uid="{00000000-0004-0000-0000-000007000000}"/>
    <hyperlink ref="B12" r:id="rId9" display="https://www.softportal.com/software-4495-poweriso.html" xr:uid="{00000000-0004-0000-0000-000008000000}"/>
    <hyperlink ref="B28" r:id="rId10" display="https://www.softportal.com/software-21851-winbin2iso.html" xr:uid="{00000000-0004-0000-0000-000009000000}"/>
    <hyperlink ref="B46" r:id="rId11" display="https://www.softportal.com/software-1502-dvd-cloner.html" xr:uid="{00000000-0004-0000-0000-00000A000000}"/>
    <hyperlink ref="B11" r:id="rId12" display="https://www.softportal.com/software-36475-wintousb.html" xr:uid="{00000000-0004-0000-0000-00000B000000}"/>
    <hyperlink ref="B23" r:id="rId13" display="https://www.softportal.com/software-4328-ashampoo-burning-studio.html" xr:uid="{00000000-0004-0000-0000-00000C000000}"/>
    <hyperlink ref="B32" r:id="rId14" display="https://www.softportal.com/software-48626-imgdrive.html" xr:uid="{00000000-0004-0000-0000-00000D000000}"/>
    <hyperlink ref="B22" r:id="rId15" display="https://www.softportal.com/software-33148-any-burn.html" xr:uid="{00000000-0004-0000-0000-00000E000000}"/>
    <hyperlink ref="B3" r:id="rId16" display="https://www.softportal.com/software-10-daemon-tools.html" xr:uid="{00000000-0004-0000-0000-00000F000000}"/>
    <hyperlink ref="B19" r:id="rId17" display="https://www.softportal.com/software-23469-universal-usb-installer.html" xr:uid="{00000000-0004-0000-0000-000010000000}"/>
    <hyperlink ref="B24" r:id="rId18" display="https://www.softportal.com/software-1838-isobuster.html" xr:uid="{00000000-0004-0000-0000-000011000000}"/>
    <hyperlink ref="B51" r:id="rId19" display="https://www.softportal.com/software-48726-cd-dvd-encryption.html" xr:uid="{00000000-0004-0000-0000-000012000000}"/>
    <hyperlink ref="B31" r:id="rId20" display="https://www.softportal.com/software-21647-iso-workshop.html" xr:uid="{00000000-0004-0000-0000-000013000000}"/>
    <hyperlink ref="B20" r:id="rId21" display="https://www.softportal.com/software-15145-ashampoo-burning-studio.html" xr:uid="{00000000-0004-0000-0000-000014000000}"/>
    <hyperlink ref="B16" r:id="rId22" display="https://www.softportal.com/software-39233-r-drive-image.html" xr:uid="{00000000-0004-0000-0000-000015000000}"/>
    <hyperlink ref="B30" r:id="rId23" display="https://www.softportal.com/software-2419-anydvd-hd.html" xr:uid="{00000000-0004-0000-0000-000016000000}"/>
    <hyperlink ref="B18" r:id="rId24" display="https://www.softportal.com/software-45141-etcher.html" xr:uid="{00000000-0004-0000-0000-000017000000}"/>
    <hyperlink ref="B17" r:id="rId25" display="https://www.softportal.com/software-40960-minitool-partition-wizard-bootable.html" xr:uid="{00000000-0004-0000-0000-000018000000}"/>
    <hyperlink ref="B6" r:id="rId26" display="https://www.softportal.com/software-22788-winsetupfromusb.html" xr:uid="{00000000-0004-0000-0000-000019000000}"/>
    <hyperlink ref="B49" r:id="rId27" display="https://www.softportal.com/software-28891-wonderfox-dvd-ripper.html" xr:uid="{00000000-0004-0000-0000-00001A000000}"/>
    <hyperlink ref="B39" r:id="rId28" display="https://www.softportal.com/software-48250-cdrtfe.html" xr:uid="{00000000-0004-0000-0000-00001B000000}"/>
    <hyperlink ref="B36" r:id="rId29" display="https://www.softportal.com/software-12173-dvdstyler.html" xr:uid="{00000000-0004-0000-0000-00001C000000}"/>
    <hyperlink ref="B10" r:id="rId30" display="https://www.softportal.com/software-38408-daemon-tools-pro.html" xr:uid="{00000000-0004-0000-0000-00001D000000}"/>
    <hyperlink ref="B14" r:id="rId31" display="https://www.softportal.com/software-38393-daemon-tools-ultra.html" xr:uid="{00000000-0004-0000-0000-00001E000000}"/>
    <hyperlink ref="B7" r:id="rId32" display="https://www.softportal.com/software-41209-alcohol-120.html" xr:uid="{00000000-0004-0000-0000-00001F000000}"/>
    <hyperlink ref="B9" r:id="rId33" display="https://www.softportal.com/software-17873-alcohol-52-free-edition.html" xr:uid="{00000000-0004-0000-0000-000020000000}"/>
    <hyperlink ref="B5" r:id="rId34" display="https://www.softportal.com/software-1521-alcohol-120.html" xr:uid="{00000000-0004-0000-0000-000021000000}"/>
    <hyperlink ref="B44" r:id="rId35" display="https://www.softportal.com/software-38298-clonebd.html" xr:uid="{00000000-0004-0000-0000-000022000000}"/>
    <hyperlink ref="B15" r:id="rId36" display="https://www.softportal.com/software-3184-virtual-clonedrive.html" xr:uid="{00000000-0004-0000-0000-000023000000}"/>
    <hyperlink ref="B40" r:id="rId37" display="https://www.softportal.com/software-15956-express-burn.html" xr:uid="{00000000-0004-0000-0000-000024000000}"/>
    <hyperlink ref="B26" r:id="rId38" display="https://www.softportal.com/software-34698-nero-video.html" xr:uid="{00000000-0004-0000-0000-000025000000}"/>
    <hyperlink ref="B37" r:id="rId39" display="https://www.softportal.com/software-28583-nero-coverdesigner.html" xr:uid="{00000000-0004-0000-0000-000026000000}"/>
    <hyperlink ref="B8" r:id="rId40" display="https://www.softportal.com/software-18737-nero-burning-rom.html" xr:uid="{00000000-0004-0000-0000-000027000000}"/>
    <hyperlink ref="B29" r:id="rId41" display="https://www.softportal.com/software-35903-virtualdvd-media-emulator.html" xr:uid="{00000000-0004-0000-0000-000028000000}"/>
    <hyperlink ref="B50" r:id="rId42" display="https://www.softportal.com/software-33018-ignition.html" xr:uid="{00000000-0004-0000-0000-000029000000}"/>
    <hyperlink ref="B4" r:id="rId43" display="https://www.softportal.com/software-2464-ultraiso.html" xr:uid="{00000000-0004-0000-0000-00002A000000}"/>
    <hyperlink ref="B27" r:id="rId44" display="https://www.softportal.com/software-41672-qemu.html" xr:uid="{00000000-0004-0000-0000-00002B000000}"/>
    <hyperlink ref="B25" r:id="rId45" display="https://www.softportal.com/software-36443-dvd-drive-repair.html" xr:uid="{00000000-0004-0000-0000-00002C000000}"/>
    <hyperlink ref="B21" r:id="rId46" display="https://www.softportal.com/software-22066-osfmount.html" xr:uid="{00000000-0004-0000-0000-00002D000000}"/>
    <hyperlink ref="B47" r:id="rId47" display="https://www.softportal.com/software-29027-avs-disc-creator.html" xr:uid="{00000000-0004-0000-0000-00002E000000}"/>
  </hyperlinks>
  <pageMargins left="0.7" right="0.7" top="0.75" bottom="0.75" header="0.3" footer="0.3"/>
  <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lex26_up64jn</cp:lastModifiedBy>
  <dcterms:created xsi:type="dcterms:W3CDTF">2026-09-22T07:49:24Z</dcterms:created>
  <dcterms:modified xsi:type="dcterms:W3CDTF">2026-09-24T19:19:25Z</dcterms:modified>
</cp:coreProperties>
</file>